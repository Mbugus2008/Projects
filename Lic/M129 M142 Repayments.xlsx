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c\"/>
    </mc:Choice>
  </mc:AlternateContent>
  <xr:revisionPtr revIDLastSave="0" documentId="8_{20DF3096-BB35-48BC-95EE-8F1CF49C600E}" xr6:coauthVersionLast="47" xr6:coauthVersionMax="47" xr10:uidLastSave="{00000000-0000-0000-0000-000000000000}"/>
  <bookViews>
    <workbookView xWindow="-120" yWindow="-120" windowWidth="29040" windowHeight="15720" activeTab="1" xr2:uid="{3ADEB230-18B4-4C4C-A481-563D9E703989}"/>
  </bookViews>
  <sheets>
    <sheet name="M142" sheetId="1" r:id="rId1"/>
    <sheet name="M12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2" l="1"/>
  <c r="P31" i="2"/>
  <c r="P61" i="1"/>
  <c r="P59" i="1"/>
</calcChain>
</file>

<file path=xl/sharedStrings.xml><?xml version="1.0" encoding="utf-8"?>
<sst xmlns="http://schemas.openxmlformats.org/spreadsheetml/2006/main" count="328" uniqueCount="77">
  <si>
    <t>Loan No:</t>
  </si>
  <si>
    <t>20201100025</t>
  </si>
  <si>
    <t>Vehicle:</t>
  </si>
  <si>
    <t>KDA065L</t>
  </si>
  <si>
    <t/>
  </si>
  <si>
    <t>Loan type:</t>
  </si>
  <si>
    <t>LEASING</t>
  </si>
  <si>
    <t>Fleet No:</t>
  </si>
  <si>
    <t>M142</t>
  </si>
  <si>
    <t>Loan Balance:</t>
  </si>
  <si>
    <t>Monthy Repayment:</t>
  </si>
  <si>
    <t>Balance B/F</t>
  </si>
  <si>
    <t>Posting Date</t>
  </si>
  <si>
    <t>Document No</t>
  </si>
  <si>
    <t>Description</t>
  </si>
  <si>
    <t>Debit Amount</t>
  </si>
  <si>
    <t>Credit Amount</t>
  </si>
  <si>
    <t>Arrears</t>
  </si>
  <si>
    <t>Balance</t>
  </si>
  <si>
    <t>NOVEMBER-2020</t>
  </si>
  <si>
    <t>DECEMBER-2020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</si>
  <si>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</si>
  <si>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</si>
  <si>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</si>
  <si>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</si>
  <si>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</si>
  <si>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</si>
  <si>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</si>
  <si>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</si>
  <si>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</si>
  <si>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</si>
  <si>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</si>
  <si>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</si>
  <si>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</si>
  <si>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</si>
  <si>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</si>
  <si>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</si>
  <si>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</si>
  <si>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</si>
  <si>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</si>
  <si>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</si>
  <si>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</si>
  <si>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</si>
  <si>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</si>
  <si>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</si>
  <si>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</si>
  <si>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</si>
  <si>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</si>
  <si>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>APRIL-2023</t>
  </si>
  <si>
    <t>MAY-2023</t>
  </si>
  <si>
    <t>JUNE-2023</t>
  </si>
  <si>
    <t>JULY-2023</t>
  </si>
  <si>
    <t>AUGUST-2023</t>
  </si>
  <si>
    <t>SEPTEMBER-2023</t>
  </si>
  <si>
    <t>OCTOBER-2023</t>
  </si>
  <si>
    <t>NOVEMBER-2023</t>
  </si>
  <si>
    <t>DECEMBER-2023</t>
  </si>
  <si>
    <t>JANUARY-2024</t>
  </si>
  <si>
    <t>FEBRUARY-2024</t>
  </si>
  <si>
    <t>MARCH-2024</t>
  </si>
  <si>
    <t>APRIL-2024</t>
  </si>
  <si>
    <t>MAY-2024</t>
  </si>
  <si>
    <t>JUNE-2024</t>
  </si>
  <si>
    <t>JULY-2024</t>
  </si>
  <si>
    <t>AUGUST-2024</t>
  </si>
  <si>
    <t>SEPTEMBER-2024</t>
  </si>
  <si>
    <t>OCTOBER-2024</t>
  </si>
  <si>
    <t>NOVEMBER-2024</t>
  </si>
  <si>
    <t>DECEMBER-2024</t>
  </si>
  <si>
    <t>JANUARY-2025</t>
  </si>
  <si>
    <t>Penalties</t>
  </si>
  <si>
    <t>Total Penalty</t>
  </si>
  <si>
    <t>Current Balance</t>
  </si>
  <si>
    <t xml:space="preserve">Over/Underpayment </t>
  </si>
  <si>
    <t>LOAN00364</t>
  </si>
  <si>
    <t>KDA403A</t>
  </si>
  <si>
    <t>M129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</si>
</sst>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[$-10409]#,##0.00"/>
    <numFmt numFmtId="169" formatCode="[$-10409]#,##0.00;\-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"/>
      <name val="Arial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20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/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NumberFormat="1" applyFont="1" applyFill="1" applyBorder="1" applyAlignment="1" applyProtection="1">
      <alignment vertical="top" wrapText="1" readingOrder="1"/>
    </xf>
    <xf numFmtId="0" fontId="4" fillId="0" borderId="0" xfId="0" applyNumberFormat="1" applyFont="1" applyFill="1" applyBorder="1" applyAlignment="1" applyProtection="1">
      <alignment horizontal="right" vertical="top" wrapText="1" readingOrder="1"/>
    </xf>
    <xf numFmtId="0" fontId="3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right" vertical="top" wrapText="1" readingOrder="1"/>
    </xf>
    <xf numFmtId="0" fontId="4" fillId="0" borderId="0" xfId="0" applyNumberFormat="1" applyFont="1" applyFill="1" applyBorder="1" applyAlignment="1" applyProtection="1">
      <alignment horizontal="left" vertical="top" wrapText="1" readingOrder="1"/>
    </xf>
    <xf numFmtId="0" fontId="2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left" vertical="top" wrapText="1" readingOrder="1"/>
    </xf>
    <xf numFmtId="168" fontId="5" fillId="0" borderId="0" xfId="0" applyNumberFormat="1" applyFont="1" applyFill="1" applyBorder="1" applyAlignment="1" applyProtection="1">
      <alignment horizontal="right" vertical="top" wrapText="1" readingOrder="1"/>
    </xf>
    <xf numFmtId="0" fontId="2" fillId="0" borderId="0" xfId="0" applyNumberFormat="1" applyFont="1" applyFill="1" applyBorder="1" applyAlignment="1" applyProtection="1">
      <alignment horizontal="left" vertical="top" wrapText="1" readingOrder="1"/>
    </xf>
    <xf numFmtId="0" fontId="2" fillId="0" borderId="0" xfId="0" applyNumberFormat="1" applyFont="1" applyFill="1" applyBorder="1" applyAlignment="1" applyProtection="1">
      <alignment horizontal="left" vertical="top" wrapText="1" readingOrder="1"/>
    </xf>
    <xf numFmtId="169" fontId="5" fillId="0" borderId="0" xfId="0" applyNumberFormat="1" applyFont="1" applyFill="1" applyBorder="1" applyAlignment="1" applyProtection="1">
      <alignment horizontal="right" vertical="top" wrapText="1" readingOrder="1"/>
    </xf>
    <xf numFmtId="0" fontId="6" fillId="0" borderId="0" xfId="0" applyNumberFormat="1" applyFont="1" applyFill="1" applyBorder="1" applyAlignment="1" applyProtection="1">
      <alignment vertical="top" wrapText="1" readingOrder="1"/>
    </xf>
    <xf numFmtId="0" fontId="3" fillId="0" borderId="1" xfId="0" applyNumberFormat="1" applyFont="1" applyFill="1" applyBorder="1" applyAlignment="1" applyProtection="1">
      <alignment vertical="top" wrapText="1" readingOrder="1"/>
    </xf>
    <xf numFmtId="0" fontId="3" fillId="0" borderId="2" xfId="0" applyNumberFormat="1" applyFont="1" applyFill="1" applyBorder="1" applyAlignment="1" applyProtection="1">
      <alignment vertical="top" wrapText="1" readingOrder="1"/>
    </xf>
    <xf numFmtId="0" fontId="3" fillId="0" borderId="1" xfId="0" applyNumberFormat="1" applyFont="1" applyFill="1" applyBorder="1" applyAlignment="1" applyProtection="1">
      <alignment horizontal="right" vertical="top" wrapText="1" readingOrder="1"/>
    </xf>
    <xf numFmtId="0" fontId="3" fillId="0" borderId="2" xfId="0" applyNumberFormat="1" applyFont="1" applyFill="1" applyBorder="1" applyAlignment="1" applyProtection="1">
      <alignment horizontal="right" vertical="top" wrapText="1" readingOrder="1"/>
    </xf>
    <xf numFmtId="0" fontId="2" fillId="0" borderId="3" xfId="0" applyNumberFormat="1" applyFont="1" applyFill="1" applyBorder="1" applyAlignment="1" applyProtection="1">
      <alignment vertical="top" wrapText="1" readingOrder="1"/>
    </xf>
    <xf numFmtId="0" fontId="2" fillId="0" borderId="4" xfId="0" applyNumberFormat="1" applyFont="1" applyFill="1" applyBorder="1" applyAlignment="1" applyProtection="1">
      <alignment vertical="top" wrapText="1" readingOrder="1"/>
    </xf>
    <xf numFmtId="0" fontId="2" fillId="0" borderId="5" xfId="0" applyNumberFormat="1" applyFont="1" applyFill="1" applyBorder="1" applyAlignment="1" applyProtection="1">
      <alignment vertical="top" wrapText="1" readingOrder="1"/>
    </xf>
    <xf numFmtId="0" fontId="2" fillId="0" borderId="6" xfId="0" applyNumberFormat="1" applyFont="1" applyFill="1" applyBorder="1" applyAlignment="1" applyProtection="1">
      <alignment vertical="top" wrapText="1" readingOrder="1"/>
    </xf>
    <xf numFmtId="0" fontId="2" fillId="0" borderId="3" xfId="0" applyNumberFormat="1" applyFont="1" applyFill="1" applyBorder="1" applyAlignment="1" applyProtection="1">
      <alignment horizontal="right" vertical="top" wrapText="1" readingOrder="1"/>
    </xf>
    <xf numFmtId="0" fontId="2" fillId="0" borderId="4" xfId="0" applyNumberFormat="1" applyFont="1" applyFill="1" applyBorder="1" applyAlignment="1" applyProtection="1">
      <alignment horizontal="right" vertical="top" wrapText="1" readingOrder="1"/>
    </xf>
    <xf numFmtId="0" fontId="2" fillId="0" borderId="5" xfId="0" applyNumberFormat="1" applyFont="1" applyFill="1" applyBorder="1" applyAlignment="1" applyProtection="1">
      <alignment horizontal="right" vertical="top" wrapText="1" readingOrder="1"/>
    </xf>
    <xf numFmtId="0" fontId="2" fillId="0" borderId="6" xfId="0" applyNumberFormat="1" applyFont="1" applyFill="1" applyBorder="1" applyAlignment="1" applyProtection="1">
      <alignment horizontal="right" vertical="top" wrapText="1" readingOrder="1"/>
    </xf>
    <xf numFmtId="0" fontId="2" fillId="0" borderId="7" xfId="0" applyNumberFormat="1" applyFont="1" applyFill="1" applyBorder="1" applyAlignment="1" applyProtection="1">
      <alignment horizontal="right" vertical="top" wrapText="1" readingOrder="1"/>
    </xf>
    <xf numFmtId="0" fontId="8" fillId="0" borderId="9" xfId="0" applyNumberFormat="1" applyFont="1" applyFill="1" applyBorder="1" applyAlignment="1" applyProtection="1">
      <alignment horizontal="left" vertical="top" wrapText="1" readingOrder="1"/>
    </xf>
    <xf numFmtId="0" fontId="8" fillId="0" borderId="10" xfId="0" applyNumberFormat="1" applyFont="1" applyFill="1" applyBorder="1" applyAlignment="1" applyProtection="1">
      <alignment horizontal="left" vertical="top" wrapText="1" readingOrder="1"/>
    </xf>
    <xf numFmtId="0" fontId="8" fillId="0" borderId="11" xfId="0" applyNumberFormat="1" applyFont="1" applyFill="1" applyBorder="1" applyAlignment="1" applyProtection="1">
      <alignment horizontal="left" vertical="top" wrapText="1" readingOrder="1"/>
    </xf>
    <xf numFmtId="0" fontId="6" fillId="0" borderId="8" xfId="0" applyNumberFormat="1" applyFont="1" applyFill="1" applyBorder="1" applyAlignment="1" applyProtection="1">
      <alignment vertical="top" wrapText="1" readingOrder="1"/>
    </xf>
    <xf numFmtId="0" fontId="7" fillId="0" borderId="8" xfId="0" applyNumberFormat="1" applyFont="1" applyFill="1" applyBorder="1" applyAlignment="1" applyProtection="1">
      <alignment horizontal="right" vertical="top" wrapText="1" readingOrder="1"/>
    </xf>
    <xf numFmtId="169" fontId="7" fillId="0" borderId="8" xfId="0" applyNumberFormat="1" applyFont="1" applyFill="1" applyBorder="1" applyAlignment="1" applyProtection="1">
      <alignment horizontal="right" vertical="top" wrapText="1" readingOrder="1"/>
    </xf>
    <xf numFmtId="169" fontId="7" fillId="0" borderId="9" xfId="0" applyNumberFormat="1" applyFont="1" applyFill="1" applyBorder="1" applyAlignment="1" applyProtection="1">
      <alignment horizontal="right" vertical="top" wrapText="1" readingOrder="1"/>
    </xf>
    <xf numFmtId="169" fontId="7" fillId="0" borderId="10" xfId="0" applyNumberFormat="1" applyFont="1" applyFill="1" applyBorder="1" applyAlignment="1" applyProtection="1">
      <alignment horizontal="right" vertical="top" wrapText="1" readingOrder="1"/>
    </xf>
    <xf numFmtId="169" fontId="7" fillId="0" borderId="11" xfId="0" applyNumberFormat="1" applyFont="1" applyFill="1" applyBorder="1" applyAlignment="1" applyProtection="1">
      <alignment horizontal="right" vertical="top" wrapText="1" readingOrder="1"/>
    </xf>
    <xf numFmtId="0" fontId="7" fillId="0" borderId="9" xfId="0" applyNumberFormat="1" applyFont="1" applyFill="1" applyBorder="1" applyAlignment="1" applyProtection="1">
      <alignment horizontal="right" vertical="top" wrapText="1" readingOrder="1"/>
    </xf>
    <xf numFmtId="0" fontId="7" fillId="0" borderId="10" xfId="0" applyNumberFormat="1" applyFont="1" applyFill="1" applyBorder="1" applyAlignment="1" applyProtection="1">
      <alignment horizontal="right" vertical="top" wrapText="1" readingOrder="1"/>
    </xf>
    <xf numFmtId="168" fontId="2" fillId="0" borderId="0" xfId="0" applyNumberFormat="1" applyFont="1" applyFill="1" applyBorder="1" applyAlignment="1" applyProtection="1">
      <alignment horizontal="right" vertical="top" wrapText="1" readingOrder="1"/>
    </xf>
    <xf numFmtId="169" fontId="2" fillId="0" borderId="0" xfId="0" applyNumberFormat="1" applyFont="1" applyFill="1" applyBorder="1" applyAlignment="1" applyProtection="1">
      <alignment horizontal="right" vertical="top" wrapText="1" readingOrder="1"/>
    </xf>
    <xf numFmtId="0" fontId="9" fillId="0" borderId="0" xfId="0" applyFont="1"/>
    <xf numFmtId="43" fontId="9" fillId="0" borderId="0" xfId="1" applyFont="1"/>
    <xf numFmtId="168" fontId="10" fillId="0" borderId="0" xfId="0" applyNumberFormat="1" applyFont="1" applyFill="1" applyBorder="1" applyAlignment="1" applyProtection="1">
      <alignment horizontal="right" vertical="top" wrapText="1" readingOrder="1"/>
    </xf>
    <xf numFmtId="4" fontId="11" fillId="0" borderId="0" xfId="0" applyNumberFormat="1" applyFont="1"/>
    <xf numFmtId="0" fontId="11" fillId="0" borderId="0" xfId="0" applyFont="1"/>
    <xf numFmtId="43" fontId="11" fillId="0" borderId="0" xfId="1" applyFont="1"/>
    <xf numFmtId="168" fontId="12" fillId="0" borderId="0" xfId="0" applyNumberFormat="1" applyFont="1" applyFill="1" applyBorder="1" applyAlignment="1" applyProtection="1">
      <alignment horizontal="righ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B270-2FEE-4A26-9203-AC366308A60E}">
  <dimension ref="A1:P61"/>
  <sheetViews>
    <sheetView topLeftCell="A46" workbookViewId="0">
      <selection activeCell="O59" sqref="O59:P61"/>
    </sheetView>
  </sheetViews>
  <sheetFormatPr defaultRowHeight="15" x14ac:dyDescent="0.25"/>
  <cols>
    <col min="5" max="5" width="1.7109375" customWidth="1"/>
    <col min="6" max="6" width="14.28515625" customWidth="1"/>
    <col min="15" max="15" width="27.140625" customWidth="1"/>
    <col min="16" max="16" width="24" customWidth="1"/>
  </cols>
  <sheetData>
    <row r="1" spans="1:16" ht="22.5" x14ac:dyDescent="0.25">
      <c r="A1" s="1" t="s">
        <v>0</v>
      </c>
      <c r="B1" s="1"/>
      <c r="C1" s="1"/>
      <c r="D1" s="1"/>
      <c r="E1" s="1"/>
      <c r="F1" s="2" t="s">
        <v>1</v>
      </c>
      <c r="G1" s="3" t="s">
        <v>2</v>
      </c>
      <c r="H1" s="4" t="s">
        <v>3</v>
      </c>
      <c r="I1" s="5" t="s">
        <v>4</v>
      </c>
      <c r="J1" s="5"/>
      <c r="K1" s="5"/>
      <c r="L1" s="5"/>
      <c r="M1" s="6" t="s">
        <v>4</v>
      </c>
      <c r="N1" s="6"/>
      <c r="O1" s="6" t="s">
        <v>4</v>
      </c>
      <c r="P1" s="6"/>
    </row>
    <row r="2" spans="1:16" x14ac:dyDescent="0.25">
      <c r="A2" s="1" t="s">
        <v>5</v>
      </c>
      <c r="B2" s="1"/>
      <c r="C2" s="1"/>
      <c r="D2" s="1"/>
      <c r="E2" s="1"/>
      <c r="F2" s="4" t="s">
        <v>6</v>
      </c>
      <c r="G2" s="7" t="s">
        <v>7</v>
      </c>
      <c r="H2" s="4" t="s">
        <v>8</v>
      </c>
      <c r="I2" s="5" t="s">
        <v>4</v>
      </c>
      <c r="J2" s="5"/>
      <c r="K2" s="5"/>
      <c r="L2" s="5"/>
      <c r="M2" s="8" t="s">
        <v>4</v>
      </c>
      <c r="N2" s="8"/>
      <c r="O2" s="8" t="s">
        <v>4</v>
      </c>
      <c r="P2" s="8"/>
    </row>
    <row r="3" spans="1:16" x14ac:dyDescent="0.25">
      <c r="A3" s="1" t="s">
        <v>9</v>
      </c>
      <c r="B3" s="1"/>
      <c r="C3" s="1"/>
      <c r="D3" s="1"/>
      <c r="E3" s="1"/>
      <c r="F3" s="38">
        <v>394842.46</v>
      </c>
      <c r="G3" s="7" t="s">
        <v>4</v>
      </c>
      <c r="H3" s="4" t="s">
        <v>4</v>
      </c>
      <c r="I3" s="5" t="s">
        <v>4</v>
      </c>
      <c r="J3" s="5"/>
      <c r="K3" s="5"/>
      <c r="L3" s="5"/>
      <c r="M3" s="8" t="s">
        <v>4</v>
      </c>
      <c r="N3" s="8"/>
      <c r="O3" s="8" t="s">
        <v>4</v>
      </c>
      <c r="P3" s="8"/>
    </row>
    <row r="4" spans="1:16" x14ac:dyDescent="0.25">
      <c r="A4" s="11" t="s">
        <v>10</v>
      </c>
      <c r="B4" s="11"/>
      <c r="C4" s="11"/>
      <c r="D4" s="11"/>
      <c r="E4" s="11"/>
      <c r="F4" s="39">
        <v>121896.27</v>
      </c>
      <c r="G4" s="7" t="s">
        <v>4</v>
      </c>
      <c r="H4" s="4" t="s">
        <v>4</v>
      </c>
      <c r="I4" s="5" t="s">
        <v>4</v>
      </c>
      <c r="J4" s="5"/>
      <c r="K4" s="5"/>
      <c r="L4" s="5"/>
      <c r="M4" s="8" t="s">
        <v>4</v>
      </c>
      <c r="N4" s="8"/>
      <c r="O4" s="8" t="s">
        <v>4</v>
      </c>
      <c r="P4" s="8"/>
    </row>
    <row r="5" spans="1:16" x14ac:dyDescent="0.25">
      <c r="A5" s="13" t="s">
        <v>4</v>
      </c>
      <c r="B5" s="13"/>
      <c r="C5" s="13"/>
      <c r="D5" s="13"/>
      <c r="E5" s="13"/>
      <c r="F5" s="10" t="s">
        <v>4</v>
      </c>
      <c r="G5" s="10" t="s">
        <v>4</v>
      </c>
      <c r="H5" s="10" t="s">
        <v>4</v>
      </c>
      <c r="I5" s="11" t="s">
        <v>4</v>
      </c>
      <c r="J5" s="11"/>
      <c r="K5" s="11"/>
      <c r="L5" s="11"/>
      <c r="M5" s="14" t="s">
        <v>4</v>
      </c>
      <c r="N5" s="14"/>
      <c r="O5" s="14" t="s">
        <v>4</v>
      </c>
      <c r="P5" s="15"/>
    </row>
    <row r="6" spans="1:16" x14ac:dyDescent="0.25">
      <c r="A6" s="11" t="s">
        <v>4</v>
      </c>
      <c r="B6" s="11"/>
      <c r="C6" s="11"/>
      <c r="D6" s="11"/>
      <c r="E6" s="11"/>
      <c r="F6" s="10" t="s">
        <v>4</v>
      </c>
      <c r="G6" s="10" t="s">
        <v>4</v>
      </c>
      <c r="H6" s="10" t="s">
        <v>4</v>
      </c>
      <c r="I6" s="14" t="s">
        <v>11</v>
      </c>
      <c r="J6" s="14"/>
      <c r="K6" s="14"/>
      <c r="L6" s="14"/>
      <c r="M6" s="16" t="s">
        <v>4</v>
      </c>
      <c r="N6" s="16"/>
      <c r="O6" s="16" t="s">
        <v>4</v>
      </c>
      <c r="P6" s="17"/>
    </row>
    <row r="7" spans="1:16" ht="24" x14ac:dyDescent="0.25">
      <c r="A7" s="19" t="s">
        <v>12</v>
      </c>
      <c r="B7" s="21"/>
      <c r="C7" s="21"/>
      <c r="D7" s="21"/>
      <c r="E7" s="20"/>
      <c r="F7" s="18" t="s">
        <v>13</v>
      </c>
      <c r="G7" s="18" t="s">
        <v>14</v>
      </c>
      <c r="H7" s="22" t="s">
        <v>15</v>
      </c>
      <c r="I7" s="23" t="s">
        <v>16</v>
      </c>
      <c r="J7" s="25"/>
      <c r="K7" s="25"/>
      <c r="L7" s="24"/>
      <c r="M7" s="23" t="s">
        <v>17</v>
      </c>
      <c r="N7" s="24"/>
      <c r="O7" s="23" t="s">
        <v>70</v>
      </c>
      <c r="P7" s="26"/>
    </row>
    <row r="8" spans="1:16" x14ac:dyDescent="0.25">
      <c r="A8" s="27" t="s">
        <v>19</v>
      </c>
      <c r="B8" s="29"/>
      <c r="C8" s="29"/>
      <c r="D8" s="29"/>
      <c r="E8" s="28"/>
      <c r="F8" s="30" t="s">
        <v>4</v>
      </c>
      <c r="G8" s="31" t="s">
        <v>4</v>
      </c>
      <c r="H8" s="32">
        <v>4833956.5999999996</v>
      </c>
      <c r="I8" s="33">
        <v>82250</v>
      </c>
      <c r="J8" s="35"/>
      <c r="K8" s="35"/>
      <c r="L8" s="34"/>
      <c r="M8" s="33">
        <v>82250</v>
      </c>
      <c r="N8" s="34"/>
      <c r="O8" s="36" t="s">
        <v>4</v>
      </c>
      <c r="P8" s="37"/>
    </row>
    <row r="9" spans="1:16" x14ac:dyDescent="0.25">
      <c r="A9" s="27" t="s">
        <v>20</v>
      </c>
      <c r="B9" s="29"/>
      <c r="C9" s="29"/>
      <c r="D9" s="29"/>
      <c r="E9" s="28"/>
      <c r="F9" s="30" t="s">
        <v>4</v>
      </c>
      <c r="G9" s="31" t="s">
        <v>4</v>
      </c>
      <c r="H9" s="32">
        <v>0</v>
      </c>
      <c r="I9" s="33">
        <v>96950</v>
      </c>
      <c r="J9" s="35"/>
      <c r="K9" s="35"/>
      <c r="L9" s="34"/>
      <c r="M9" s="33">
        <v>-22844.61</v>
      </c>
      <c r="N9" s="34"/>
      <c r="O9" s="36">
        <v>-456.8922</v>
      </c>
      <c r="P9" s="37"/>
    </row>
    <row r="10" spans="1:16" x14ac:dyDescent="0.25">
      <c r="A10" s="27" t="s">
        <v>21</v>
      </c>
      <c r="B10" s="29"/>
      <c r="C10" s="29"/>
      <c r="D10" s="29"/>
      <c r="E10" s="28"/>
      <c r="F10" s="30" t="s">
        <v>4</v>
      </c>
      <c r="G10" s="31" t="s">
        <v>4</v>
      </c>
      <c r="H10" s="32">
        <v>0</v>
      </c>
      <c r="I10" s="33">
        <v>103075</v>
      </c>
      <c r="J10" s="35"/>
      <c r="K10" s="35"/>
      <c r="L10" s="34"/>
      <c r="M10" s="33">
        <v>-16719.61</v>
      </c>
      <c r="N10" s="34"/>
      <c r="O10" s="36">
        <v>-334.3922</v>
      </c>
      <c r="P10" s="37"/>
    </row>
    <row r="11" spans="1:16" x14ac:dyDescent="0.25">
      <c r="A11" s="27" t="s">
        <v>22</v>
      </c>
      <c r="B11" s="29"/>
      <c r="C11" s="29"/>
      <c r="D11" s="29"/>
      <c r="E11" s="28"/>
      <c r="F11" s="30" t="s">
        <v>4</v>
      </c>
      <c r="G11" s="31" t="s">
        <v>4</v>
      </c>
      <c r="H11" s="32">
        <v>0</v>
      </c>
      <c r="I11" s="33">
        <v>134325</v>
      </c>
      <c r="J11" s="35"/>
      <c r="K11" s="35"/>
      <c r="L11" s="34"/>
      <c r="M11" s="33">
        <v>14530.39</v>
      </c>
      <c r="N11" s="34"/>
      <c r="O11" s="36">
        <v>0</v>
      </c>
      <c r="P11" s="37"/>
    </row>
    <row r="12" spans="1:16" x14ac:dyDescent="0.25">
      <c r="A12" s="27" t="s">
        <v>23</v>
      </c>
      <c r="B12" s="29"/>
      <c r="C12" s="29"/>
      <c r="D12" s="29"/>
      <c r="E12" s="28"/>
      <c r="F12" s="30" t="s">
        <v>4</v>
      </c>
      <c r="G12" s="31" t="s">
        <v>4</v>
      </c>
      <c r="H12" s="32">
        <v>0</v>
      </c>
      <c r="I12" s="33">
        <v>130750</v>
      </c>
      <c r="J12" s="35"/>
      <c r="K12" s="35"/>
      <c r="L12" s="34"/>
      <c r="M12" s="33">
        <v>10955.39</v>
      </c>
      <c r="N12" s="34"/>
      <c r="O12" s="36">
        <v>0</v>
      </c>
      <c r="P12" s="37"/>
    </row>
    <row r="13" spans="1:16" x14ac:dyDescent="0.25">
      <c r="A13" s="27" t="s">
        <v>24</v>
      </c>
      <c r="B13" s="29"/>
      <c r="C13" s="29"/>
      <c r="D13" s="29"/>
      <c r="E13" s="28"/>
      <c r="F13" s="30" t="s">
        <v>4</v>
      </c>
      <c r="G13" s="31" t="s">
        <v>4</v>
      </c>
      <c r="H13" s="32">
        <v>0</v>
      </c>
      <c r="I13" s="33">
        <v>109200</v>
      </c>
      <c r="J13" s="35"/>
      <c r="K13" s="35"/>
      <c r="L13" s="34"/>
      <c r="M13" s="33">
        <v>-10594.61</v>
      </c>
      <c r="N13" s="34"/>
      <c r="O13" s="36">
        <v>-211.8922</v>
      </c>
      <c r="P13" s="37"/>
    </row>
    <row r="14" spans="1:16" x14ac:dyDescent="0.25">
      <c r="A14" s="27" t="s">
        <v>25</v>
      </c>
      <c r="B14" s="29"/>
      <c r="C14" s="29"/>
      <c r="D14" s="29"/>
      <c r="E14" s="28"/>
      <c r="F14" s="30" t="s">
        <v>4</v>
      </c>
      <c r="G14" s="31" t="s">
        <v>4</v>
      </c>
      <c r="H14" s="32">
        <v>0</v>
      </c>
      <c r="I14" s="33">
        <v>91550</v>
      </c>
      <c r="J14" s="35"/>
      <c r="K14" s="35"/>
      <c r="L14" s="34"/>
      <c r="M14" s="33">
        <v>-28244.61</v>
      </c>
      <c r="N14" s="34"/>
      <c r="O14" s="36">
        <v>-564.8922</v>
      </c>
      <c r="P14" s="37"/>
    </row>
    <row r="15" spans="1:16" x14ac:dyDescent="0.25">
      <c r="A15" s="27" t="s">
        <v>26</v>
      </c>
      <c r="B15" s="29"/>
      <c r="C15" s="29"/>
      <c r="D15" s="29"/>
      <c r="E15" s="28"/>
      <c r="F15" s="30" t="s">
        <v>4</v>
      </c>
      <c r="G15" s="31" t="s">
        <v>4</v>
      </c>
      <c r="H15" s="32">
        <v>0</v>
      </c>
      <c r="I15" s="33">
        <v>125450</v>
      </c>
      <c r="J15" s="35"/>
      <c r="K15" s="35"/>
      <c r="L15" s="34"/>
      <c r="M15" s="33">
        <v>5655.39</v>
      </c>
      <c r="N15" s="34"/>
      <c r="O15" s="36">
        <v>0</v>
      </c>
      <c r="P15" s="37"/>
    </row>
    <row r="16" spans="1:16" x14ac:dyDescent="0.25">
      <c r="A16" s="27" t="s">
        <v>27</v>
      </c>
      <c r="B16" s="29"/>
      <c r="C16" s="29"/>
      <c r="D16" s="29"/>
      <c r="E16" s="28"/>
      <c r="F16" s="30" t="s">
        <v>4</v>
      </c>
      <c r="G16" s="31" t="s">
        <v>4</v>
      </c>
      <c r="H16" s="32">
        <v>0</v>
      </c>
      <c r="I16" s="33">
        <v>103450</v>
      </c>
      <c r="J16" s="35"/>
      <c r="K16" s="35"/>
      <c r="L16" s="34"/>
      <c r="M16" s="33">
        <v>-16344.61</v>
      </c>
      <c r="N16" s="34"/>
      <c r="O16" s="36">
        <v>-326.8922</v>
      </c>
      <c r="P16" s="37"/>
    </row>
    <row r="17" spans="1:16" x14ac:dyDescent="0.25">
      <c r="A17" s="27" t="s">
        <v>28</v>
      </c>
      <c r="B17" s="29"/>
      <c r="C17" s="29"/>
      <c r="D17" s="29"/>
      <c r="E17" s="28"/>
      <c r="F17" s="30" t="s">
        <v>4</v>
      </c>
      <c r="G17" s="31" t="s">
        <v>4</v>
      </c>
      <c r="H17" s="32">
        <v>0</v>
      </c>
      <c r="I17" s="33">
        <v>92950</v>
      </c>
      <c r="J17" s="35"/>
      <c r="K17" s="35"/>
      <c r="L17" s="34"/>
      <c r="M17" s="33">
        <v>-26844.61</v>
      </c>
      <c r="N17" s="34"/>
      <c r="O17" s="36">
        <v>-536.8922</v>
      </c>
      <c r="P17" s="37"/>
    </row>
    <row r="18" spans="1:16" x14ac:dyDescent="0.25">
      <c r="A18" s="27" t="s">
        <v>29</v>
      </c>
      <c r="B18" s="29"/>
      <c r="C18" s="29"/>
      <c r="D18" s="29"/>
      <c r="E18" s="28"/>
      <c r="F18" s="30" t="s">
        <v>4</v>
      </c>
      <c r="G18" s="31" t="s">
        <v>4</v>
      </c>
      <c r="H18" s="32">
        <v>0</v>
      </c>
      <c r="I18" s="33">
        <v>108950</v>
      </c>
      <c r="J18" s="35"/>
      <c r="K18" s="35"/>
      <c r="L18" s="34"/>
      <c r="M18" s="33">
        <v>-10844.61</v>
      </c>
      <c r="N18" s="34"/>
      <c r="O18" s="36">
        <v>-216.8922</v>
      </c>
      <c r="P18" s="37"/>
    </row>
    <row r="19" spans="1:16" x14ac:dyDescent="0.25">
      <c r="A19" s="27" t="s">
        <v>30</v>
      </c>
      <c r="B19" s="29"/>
      <c r="C19" s="29"/>
      <c r="D19" s="29"/>
      <c r="E19" s="28"/>
      <c r="F19" s="30" t="s">
        <v>4</v>
      </c>
      <c r="G19" s="31" t="s">
        <v>4</v>
      </c>
      <c r="H19" s="32">
        <v>0</v>
      </c>
      <c r="I19" s="33">
        <v>109050</v>
      </c>
      <c r="J19" s="35"/>
      <c r="K19" s="35"/>
      <c r="L19" s="34"/>
      <c r="M19" s="33">
        <v>-10744.61</v>
      </c>
      <c r="N19" s="34"/>
      <c r="O19" s="36">
        <v>-214.8922</v>
      </c>
      <c r="P19" s="37"/>
    </row>
    <row r="20" spans="1:16" x14ac:dyDescent="0.25">
      <c r="A20" s="27" t="s">
        <v>31</v>
      </c>
      <c r="B20" s="29"/>
      <c r="C20" s="29"/>
      <c r="D20" s="29"/>
      <c r="E20" s="28"/>
      <c r="F20" s="30" t="s">
        <v>4</v>
      </c>
      <c r="G20" s="31" t="s">
        <v>4</v>
      </c>
      <c r="H20" s="32">
        <v>0</v>
      </c>
      <c r="I20" s="33">
        <v>128750</v>
      </c>
      <c r="J20" s="35"/>
      <c r="K20" s="35"/>
      <c r="L20" s="34"/>
      <c r="M20" s="33">
        <v>8955.39</v>
      </c>
      <c r="N20" s="34"/>
      <c r="O20" s="36">
        <v>0</v>
      </c>
      <c r="P20" s="37"/>
    </row>
    <row r="21" spans="1:16" x14ac:dyDescent="0.25">
      <c r="A21" s="27" t="s">
        <v>32</v>
      </c>
      <c r="B21" s="29"/>
      <c r="C21" s="29"/>
      <c r="D21" s="29"/>
      <c r="E21" s="28"/>
      <c r="F21" s="30" t="s">
        <v>4</v>
      </c>
      <c r="G21" s="31" t="s">
        <v>4</v>
      </c>
      <c r="H21" s="32">
        <v>0</v>
      </c>
      <c r="I21" s="33">
        <v>44650</v>
      </c>
      <c r="J21" s="35"/>
      <c r="K21" s="35"/>
      <c r="L21" s="34"/>
      <c r="M21" s="33">
        <v>-75144.61</v>
      </c>
      <c r="N21" s="34"/>
      <c r="O21" s="36">
        <v>-1502.8922</v>
      </c>
      <c r="P21" s="37"/>
    </row>
    <row r="22" spans="1:16" x14ac:dyDescent="0.25">
      <c r="A22" s="27" t="s">
        <v>33</v>
      </c>
      <c r="B22" s="29"/>
      <c r="C22" s="29"/>
      <c r="D22" s="29"/>
      <c r="E22" s="28"/>
      <c r="F22" s="30" t="s">
        <v>4</v>
      </c>
      <c r="G22" s="31" t="s">
        <v>4</v>
      </c>
      <c r="H22" s="32">
        <v>0</v>
      </c>
      <c r="I22" s="33">
        <v>100850</v>
      </c>
      <c r="J22" s="35"/>
      <c r="K22" s="35"/>
      <c r="L22" s="34"/>
      <c r="M22" s="33">
        <v>-18944.61</v>
      </c>
      <c r="N22" s="34"/>
      <c r="O22" s="36">
        <v>-378.8922</v>
      </c>
      <c r="P22" s="37"/>
    </row>
    <row r="23" spans="1:16" x14ac:dyDescent="0.25">
      <c r="A23" s="27" t="s">
        <v>34</v>
      </c>
      <c r="B23" s="29"/>
      <c r="C23" s="29"/>
      <c r="D23" s="29"/>
      <c r="E23" s="28"/>
      <c r="F23" s="30" t="s">
        <v>4</v>
      </c>
      <c r="G23" s="31" t="s">
        <v>4</v>
      </c>
      <c r="H23" s="32">
        <v>644205.05000000005</v>
      </c>
      <c r="I23" s="33">
        <v>149300</v>
      </c>
      <c r="J23" s="35"/>
      <c r="K23" s="35"/>
      <c r="L23" s="34"/>
      <c r="M23" s="33">
        <v>29505.39</v>
      </c>
      <c r="N23" s="34"/>
      <c r="O23" s="36">
        <v>0</v>
      </c>
      <c r="P23" s="37"/>
    </row>
    <row r="24" spans="1:16" x14ac:dyDescent="0.25">
      <c r="A24" s="27" t="s">
        <v>35</v>
      </c>
      <c r="B24" s="29"/>
      <c r="C24" s="29"/>
      <c r="D24" s="29"/>
      <c r="E24" s="28"/>
      <c r="F24" s="30" t="s">
        <v>4</v>
      </c>
      <c r="G24" s="31" t="s">
        <v>4</v>
      </c>
      <c r="H24" s="32">
        <v>39880.129999999997</v>
      </c>
      <c r="I24" s="33">
        <v>81018</v>
      </c>
      <c r="J24" s="35"/>
      <c r="K24" s="35"/>
      <c r="L24" s="34"/>
      <c r="M24" s="33">
        <v>-38776.61</v>
      </c>
      <c r="N24" s="34"/>
      <c r="O24" s="36">
        <v>-775.53219999999999</v>
      </c>
      <c r="P24" s="37"/>
    </row>
    <row r="25" spans="1:16" x14ac:dyDescent="0.25">
      <c r="A25" s="27" t="s">
        <v>36</v>
      </c>
      <c r="B25" s="29"/>
      <c r="C25" s="29"/>
      <c r="D25" s="29"/>
      <c r="E25" s="28"/>
      <c r="F25" s="30" t="s">
        <v>4</v>
      </c>
      <c r="G25" s="31" t="s">
        <v>4</v>
      </c>
      <c r="H25" s="32">
        <v>39014.39</v>
      </c>
      <c r="I25" s="33">
        <v>79650</v>
      </c>
      <c r="J25" s="35"/>
      <c r="K25" s="35"/>
      <c r="L25" s="34"/>
      <c r="M25" s="33">
        <v>-40144.61</v>
      </c>
      <c r="N25" s="34"/>
      <c r="O25" s="36">
        <v>-802.8922</v>
      </c>
      <c r="P25" s="37"/>
    </row>
    <row r="26" spans="1:16" x14ac:dyDescent="0.25">
      <c r="A26" s="27" t="s">
        <v>37</v>
      </c>
      <c r="B26" s="29"/>
      <c r="C26" s="29"/>
      <c r="D26" s="29"/>
      <c r="E26" s="28"/>
      <c r="F26" s="30" t="s">
        <v>4</v>
      </c>
      <c r="G26" s="31" t="s">
        <v>4</v>
      </c>
      <c r="H26" s="32">
        <v>38139.269999999997</v>
      </c>
      <c r="I26" s="33">
        <v>96800</v>
      </c>
      <c r="J26" s="35"/>
      <c r="K26" s="35"/>
      <c r="L26" s="34"/>
      <c r="M26" s="33">
        <v>-22994.61</v>
      </c>
      <c r="N26" s="34"/>
      <c r="O26" s="36">
        <v>-459.8922</v>
      </c>
      <c r="P26" s="37"/>
    </row>
    <row r="27" spans="1:16" x14ac:dyDescent="0.25">
      <c r="A27" s="27" t="s">
        <v>38</v>
      </c>
      <c r="B27" s="29"/>
      <c r="C27" s="29"/>
      <c r="D27" s="29"/>
      <c r="E27" s="28"/>
      <c r="F27" s="30" t="s">
        <v>4</v>
      </c>
      <c r="G27" s="31" t="s">
        <v>4</v>
      </c>
      <c r="H27" s="32">
        <v>37254.67</v>
      </c>
      <c r="I27" s="33">
        <v>126550</v>
      </c>
      <c r="J27" s="35"/>
      <c r="K27" s="35"/>
      <c r="L27" s="34"/>
      <c r="M27" s="33">
        <v>6755.39</v>
      </c>
      <c r="N27" s="34"/>
      <c r="O27" s="36">
        <v>0</v>
      </c>
      <c r="P27" s="37"/>
    </row>
    <row r="28" spans="1:16" x14ac:dyDescent="0.25">
      <c r="A28" s="27" t="s">
        <v>39</v>
      </c>
      <c r="B28" s="29"/>
      <c r="C28" s="29"/>
      <c r="D28" s="29"/>
      <c r="E28" s="28"/>
      <c r="F28" s="30" t="s">
        <v>4</v>
      </c>
      <c r="G28" s="31" t="s">
        <v>4</v>
      </c>
      <c r="H28" s="32">
        <v>78394.149999999994</v>
      </c>
      <c r="I28" s="33">
        <v>127110</v>
      </c>
      <c r="J28" s="35"/>
      <c r="K28" s="35"/>
      <c r="L28" s="34"/>
      <c r="M28" s="33">
        <v>5213.7299999999996</v>
      </c>
      <c r="N28" s="34"/>
      <c r="O28" s="36">
        <v>0</v>
      </c>
      <c r="P28" s="37"/>
    </row>
    <row r="29" spans="1:16" x14ac:dyDescent="0.25">
      <c r="A29" s="27" t="s">
        <v>40</v>
      </c>
      <c r="B29" s="29"/>
      <c r="C29" s="29"/>
      <c r="D29" s="29"/>
      <c r="E29" s="28"/>
      <c r="F29" s="30" t="s">
        <v>4</v>
      </c>
      <c r="G29" s="31" t="s">
        <v>4</v>
      </c>
      <c r="H29" s="32">
        <v>37558.28</v>
      </c>
      <c r="I29" s="33">
        <v>113963</v>
      </c>
      <c r="J29" s="35"/>
      <c r="K29" s="35"/>
      <c r="L29" s="34"/>
      <c r="M29" s="33">
        <v>-7933.27</v>
      </c>
      <c r="N29" s="34"/>
      <c r="O29" s="36">
        <v>-158.66540000000001</v>
      </c>
      <c r="P29" s="37"/>
    </row>
    <row r="30" spans="1:16" x14ac:dyDescent="0.25">
      <c r="A30" s="27" t="s">
        <v>41</v>
      </c>
      <c r="B30" s="29"/>
      <c r="C30" s="29"/>
      <c r="D30" s="29"/>
      <c r="E30" s="28"/>
      <c r="F30" s="30" t="s">
        <v>4</v>
      </c>
      <c r="G30" s="31" t="s">
        <v>4</v>
      </c>
      <c r="H30" s="32">
        <v>36644.61</v>
      </c>
      <c r="I30" s="33">
        <v>164200</v>
      </c>
      <c r="J30" s="35"/>
      <c r="K30" s="35"/>
      <c r="L30" s="34"/>
      <c r="M30" s="33">
        <v>42303.73</v>
      </c>
      <c r="N30" s="34"/>
      <c r="O30" s="36">
        <v>0</v>
      </c>
      <c r="P30" s="37"/>
    </row>
    <row r="31" spans="1:16" x14ac:dyDescent="0.25">
      <c r="A31" s="27" t="s">
        <v>42</v>
      </c>
      <c r="B31" s="29"/>
      <c r="C31" s="29"/>
      <c r="D31" s="29"/>
      <c r="E31" s="28"/>
      <c r="F31" s="30" t="s">
        <v>4</v>
      </c>
      <c r="G31" s="31" t="s">
        <v>4</v>
      </c>
      <c r="H31" s="32">
        <v>35721.050000000003</v>
      </c>
      <c r="I31" s="33">
        <v>156600</v>
      </c>
      <c r="J31" s="35"/>
      <c r="K31" s="35"/>
      <c r="L31" s="34"/>
      <c r="M31" s="33">
        <v>34703.730000000003</v>
      </c>
      <c r="N31" s="34"/>
      <c r="O31" s="36">
        <v>0</v>
      </c>
      <c r="P31" s="37"/>
    </row>
    <row r="32" spans="1:16" x14ac:dyDescent="0.25">
      <c r="A32" s="27" t="s">
        <v>43</v>
      </c>
      <c r="B32" s="29"/>
      <c r="C32" s="29"/>
      <c r="D32" s="29"/>
      <c r="E32" s="28"/>
      <c r="F32" s="30" t="s">
        <v>4</v>
      </c>
      <c r="G32" s="31" t="s">
        <v>4</v>
      </c>
      <c r="H32" s="32">
        <v>34787.49</v>
      </c>
      <c r="I32" s="33">
        <v>116900</v>
      </c>
      <c r="J32" s="35"/>
      <c r="K32" s="35"/>
      <c r="L32" s="34"/>
      <c r="M32" s="33">
        <v>-4996.2700000000004</v>
      </c>
      <c r="N32" s="34"/>
      <c r="O32" s="36">
        <v>-99.92540000000001</v>
      </c>
      <c r="P32" s="37"/>
    </row>
    <row r="33" spans="1:16" x14ac:dyDescent="0.25">
      <c r="A33" s="27" t="s">
        <v>44</v>
      </c>
      <c r="B33" s="29"/>
      <c r="C33" s="29"/>
      <c r="D33" s="29"/>
      <c r="E33" s="28"/>
      <c r="F33" s="30" t="s">
        <v>4</v>
      </c>
      <c r="G33" s="31" t="s">
        <v>4</v>
      </c>
      <c r="H33" s="32">
        <v>33843.81</v>
      </c>
      <c r="I33" s="33">
        <v>77450</v>
      </c>
      <c r="J33" s="35"/>
      <c r="K33" s="35"/>
      <c r="L33" s="34"/>
      <c r="M33" s="33">
        <v>-44446.27</v>
      </c>
      <c r="N33" s="34"/>
      <c r="O33" s="36">
        <v>-888.92539999999997</v>
      </c>
      <c r="P33" s="37"/>
    </row>
    <row r="34" spans="1:16" x14ac:dyDescent="0.25">
      <c r="A34" s="27" t="s">
        <v>45</v>
      </c>
      <c r="B34" s="29"/>
      <c r="C34" s="29"/>
      <c r="D34" s="29"/>
      <c r="E34" s="28"/>
      <c r="F34" s="30" t="s">
        <v>4</v>
      </c>
      <c r="G34" s="31" t="s">
        <v>4</v>
      </c>
      <c r="H34" s="32">
        <v>32889.910000000003</v>
      </c>
      <c r="I34" s="33">
        <v>132950</v>
      </c>
      <c r="J34" s="35"/>
      <c r="K34" s="35"/>
      <c r="L34" s="34"/>
      <c r="M34" s="33">
        <v>11053.73</v>
      </c>
      <c r="N34" s="34"/>
      <c r="O34" s="36">
        <v>0</v>
      </c>
      <c r="P34" s="37"/>
    </row>
    <row r="35" spans="1:16" x14ac:dyDescent="0.25">
      <c r="A35" s="27" t="s">
        <v>46</v>
      </c>
      <c r="B35" s="29"/>
      <c r="C35" s="29"/>
      <c r="D35" s="29"/>
      <c r="E35" s="28"/>
      <c r="F35" s="30" t="s">
        <v>4</v>
      </c>
      <c r="G35" s="31" t="s">
        <v>4</v>
      </c>
      <c r="H35" s="32">
        <v>31925.67</v>
      </c>
      <c r="I35" s="33">
        <v>123950</v>
      </c>
      <c r="J35" s="35"/>
      <c r="K35" s="35"/>
      <c r="L35" s="34"/>
      <c r="M35" s="33">
        <v>2053.73</v>
      </c>
      <c r="N35" s="34"/>
      <c r="O35" s="36">
        <v>0</v>
      </c>
      <c r="P35" s="37"/>
    </row>
    <row r="36" spans="1:16" x14ac:dyDescent="0.25">
      <c r="A36" s="27" t="s">
        <v>47</v>
      </c>
      <c r="B36" s="29"/>
      <c r="C36" s="29"/>
      <c r="D36" s="29"/>
      <c r="E36" s="28"/>
      <c r="F36" s="30" t="s">
        <v>4</v>
      </c>
      <c r="G36" s="31" t="s">
        <v>4</v>
      </c>
      <c r="H36" s="32">
        <v>30950.99</v>
      </c>
      <c r="I36" s="33">
        <v>116750</v>
      </c>
      <c r="J36" s="35"/>
      <c r="K36" s="35"/>
      <c r="L36" s="34"/>
      <c r="M36" s="33">
        <v>-5146.2700000000004</v>
      </c>
      <c r="N36" s="34"/>
      <c r="O36" s="36">
        <v>-102.92540000000001</v>
      </c>
      <c r="P36" s="37"/>
    </row>
    <row r="37" spans="1:16" x14ac:dyDescent="0.25">
      <c r="A37" s="27" t="s">
        <v>48</v>
      </c>
      <c r="B37" s="29"/>
      <c r="C37" s="29"/>
      <c r="D37" s="29"/>
      <c r="E37" s="28"/>
      <c r="F37" s="30" t="s">
        <v>4</v>
      </c>
      <c r="G37" s="31" t="s">
        <v>4</v>
      </c>
      <c r="H37" s="32">
        <v>29965.75</v>
      </c>
      <c r="I37" s="33">
        <v>106150</v>
      </c>
      <c r="J37" s="35"/>
      <c r="K37" s="35"/>
      <c r="L37" s="34"/>
      <c r="M37" s="33">
        <v>-15746.27</v>
      </c>
      <c r="N37" s="34"/>
      <c r="O37" s="36">
        <v>-314.92540000000002</v>
      </c>
      <c r="P37" s="37"/>
    </row>
    <row r="38" spans="1:16" x14ac:dyDescent="0.25">
      <c r="A38" s="27" t="s">
        <v>49</v>
      </c>
      <c r="B38" s="29"/>
      <c r="C38" s="29"/>
      <c r="D38" s="29"/>
      <c r="E38" s="28"/>
      <c r="F38" s="30" t="s">
        <v>4</v>
      </c>
      <c r="G38" s="31" t="s">
        <v>4</v>
      </c>
      <c r="H38" s="32">
        <v>28969.84</v>
      </c>
      <c r="I38" s="33">
        <v>129405</v>
      </c>
      <c r="J38" s="35"/>
      <c r="K38" s="35"/>
      <c r="L38" s="34"/>
      <c r="M38" s="33">
        <v>7508.73</v>
      </c>
      <c r="N38" s="34"/>
      <c r="O38" s="36">
        <v>0</v>
      </c>
      <c r="P38" s="37"/>
    </row>
    <row r="39" spans="1:16" x14ac:dyDescent="0.25">
      <c r="A39" s="27" t="s">
        <v>50</v>
      </c>
      <c r="B39" s="29"/>
      <c r="C39" s="29"/>
      <c r="D39" s="29"/>
      <c r="E39" s="28"/>
      <c r="F39" s="30" t="s">
        <v>4</v>
      </c>
      <c r="G39" s="31" t="s">
        <v>4</v>
      </c>
      <c r="H39" s="32">
        <v>27963.14</v>
      </c>
      <c r="I39" s="33">
        <v>171093</v>
      </c>
      <c r="J39" s="35"/>
      <c r="K39" s="35"/>
      <c r="L39" s="34"/>
      <c r="M39" s="33">
        <v>49196.73</v>
      </c>
      <c r="N39" s="34"/>
      <c r="O39" s="36">
        <v>0</v>
      </c>
      <c r="P39" s="37"/>
    </row>
    <row r="40" spans="1:16" x14ac:dyDescent="0.25">
      <c r="A40" s="27" t="s">
        <v>51</v>
      </c>
      <c r="B40" s="29"/>
      <c r="C40" s="29"/>
      <c r="D40" s="29"/>
      <c r="E40" s="28"/>
      <c r="F40" s="30" t="s">
        <v>4</v>
      </c>
      <c r="G40" s="31" t="s">
        <v>4</v>
      </c>
      <c r="H40" s="32">
        <v>26945.53</v>
      </c>
      <c r="I40" s="33">
        <v>134850</v>
      </c>
      <c r="J40" s="35"/>
      <c r="K40" s="35"/>
      <c r="L40" s="34"/>
      <c r="M40" s="33">
        <v>12953.73</v>
      </c>
      <c r="N40" s="34"/>
      <c r="O40" s="36">
        <v>0</v>
      </c>
      <c r="P40" s="37"/>
    </row>
    <row r="41" spans="1:16" x14ac:dyDescent="0.25">
      <c r="A41" s="27" t="s">
        <v>52</v>
      </c>
      <c r="B41" s="29"/>
      <c r="C41" s="29"/>
      <c r="D41" s="29"/>
      <c r="E41" s="28"/>
      <c r="F41" s="30" t="s">
        <v>4</v>
      </c>
      <c r="G41" s="31" t="s">
        <v>4</v>
      </c>
      <c r="H41" s="32">
        <v>25916.89</v>
      </c>
      <c r="I41" s="33">
        <v>364109</v>
      </c>
      <c r="J41" s="35"/>
      <c r="K41" s="35"/>
      <c r="L41" s="34"/>
      <c r="M41" s="33">
        <v>242212.73</v>
      </c>
      <c r="N41" s="34"/>
      <c r="O41" s="36">
        <v>0</v>
      </c>
      <c r="P41" s="37"/>
    </row>
    <row r="42" spans="1:16" x14ac:dyDescent="0.25">
      <c r="A42" s="27" t="s">
        <v>53</v>
      </c>
      <c r="B42" s="29"/>
      <c r="C42" s="29"/>
      <c r="D42" s="29"/>
      <c r="E42" s="28"/>
      <c r="F42" s="30" t="s">
        <v>4</v>
      </c>
      <c r="G42" s="31" t="s">
        <v>4</v>
      </c>
      <c r="H42" s="32">
        <v>24877.119999999999</v>
      </c>
      <c r="I42" s="33">
        <v>134450</v>
      </c>
      <c r="J42" s="35"/>
      <c r="K42" s="35"/>
      <c r="L42" s="34"/>
      <c r="M42" s="33">
        <v>12553.73</v>
      </c>
      <c r="N42" s="34"/>
      <c r="O42" s="36">
        <v>0</v>
      </c>
      <c r="P42" s="37"/>
    </row>
    <row r="43" spans="1:16" x14ac:dyDescent="0.25">
      <c r="A43" s="27" t="s">
        <v>54</v>
      </c>
      <c r="B43" s="29"/>
      <c r="C43" s="29"/>
      <c r="D43" s="29"/>
      <c r="E43" s="28"/>
      <c r="F43" s="30" t="s">
        <v>4</v>
      </c>
      <c r="G43" s="31" t="s">
        <v>4</v>
      </c>
      <c r="H43" s="32">
        <v>23826.080000000002</v>
      </c>
      <c r="I43" s="33">
        <v>138750</v>
      </c>
      <c r="J43" s="35"/>
      <c r="K43" s="35"/>
      <c r="L43" s="34"/>
      <c r="M43" s="33">
        <v>16853.73</v>
      </c>
      <c r="N43" s="34"/>
      <c r="O43" s="36">
        <v>0</v>
      </c>
      <c r="P43" s="37"/>
    </row>
    <row r="44" spans="1:16" x14ac:dyDescent="0.25">
      <c r="A44" s="27" t="s">
        <v>55</v>
      </c>
      <c r="B44" s="29"/>
      <c r="C44" s="29"/>
      <c r="D44" s="29"/>
      <c r="E44" s="28"/>
      <c r="F44" s="30" t="s">
        <v>4</v>
      </c>
      <c r="G44" s="31" t="s">
        <v>4</v>
      </c>
      <c r="H44" s="32">
        <v>22763.65</v>
      </c>
      <c r="I44" s="33">
        <v>145950</v>
      </c>
      <c r="J44" s="35"/>
      <c r="K44" s="35"/>
      <c r="L44" s="34"/>
      <c r="M44" s="33">
        <v>24053.73</v>
      </c>
      <c r="N44" s="34"/>
      <c r="O44" s="36">
        <v>0</v>
      </c>
      <c r="P44" s="37"/>
    </row>
    <row r="45" spans="1:16" x14ac:dyDescent="0.25">
      <c r="A45" s="27" t="s">
        <v>56</v>
      </c>
      <c r="B45" s="29"/>
      <c r="C45" s="29"/>
      <c r="D45" s="29"/>
      <c r="E45" s="28"/>
      <c r="F45" s="30" t="s">
        <v>4</v>
      </c>
      <c r="G45" s="31" t="s">
        <v>4</v>
      </c>
      <c r="H45" s="32">
        <v>21689.71</v>
      </c>
      <c r="I45" s="33">
        <v>74450</v>
      </c>
      <c r="J45" s="35"/>
      <c r="K45" s="35"/>
      <c r="L45" s="34"/>
      <c r="M45" s="33">
        <v>-47446.27</v>
      </c>
      <c r="N45" s="34"/>
      <c r="O45" s="36">
        <v>-948.92539999999997</v>
      </c>
      <c r="P45" s="37"/>
    </row>
    <row r="46" spans="1:16" x14ac:dyDescent="0.25">
      <c r="A46" s="27" t="s">
        <v>57</v>
      </c>
      <c r="B46" s="29"/>
      <c r="C46" s="29"/>
      <c r="D46" s="29"/>
      <c r="E46" s="28"/>
      <c r="F46" s="30" t="s">
        <v>4</v>
      </c>
      <c r="G46" s="31" t="s">
        <v>4</v>
      </c>
      <c r="H46" s="32">
        <v>20604.14</v>
      </c>
      <c r="I46" s="33">
        <v>122050</v>
      </c>
      <c r="J46" s="35"/>
      <c r="K46" s="35"/>
      <c r="L46" s="34"/>
      <c r="M46" s="33">
        <v>153.72999999999999</v>
      </c>
      <c r="N46" s="34"/>
      <c r="O46" s="36">
        <v>0</v>
      </c>
      <c r="P46" s="37"/>
    </row>
    <row r="47" spans="1:16" x14ac:dyDescent="0.25">
      <c r="A47" s="27" t="s">
        <v>58</v>
      </c>
      <c r="B47" s="29"/>
      <c r="C47" s="29"/>
      <c r="D47" s="29"/>
      <c r="E47" s="28"/>
      <c r="F47" s="30" t="s">
        <v>4</v>
      </c>
      <c r="G47" s="31" t="s">
        <v>4</v>
      </c>
      <c r="H47" s="32">
        <v>19506.810000000001</v>
      </c>
      <c r="I47" s="33">
        <v>141950</v>
      </c>
      <c r="J47" s="35"/>
      <c r="K47" s="35"/>
      <c r="L47" s="34"/>
      <c r="M47" s="33">
        <v>20053.73</v>
      </c>
      <c r="N47" s="34"/>
      <c r="O47" s="36">
        <v>0</v>
      </c>
      <c r="P47" s="37"/>
    </row>
    <row r="48" spans="1:16" x14ac:dyDescent="0.25">
      <c r="A48" s="27" t="s">
        <v>59</v>
      </c>
      <c r="B48" s="29"/>
      <c r="C48" s="29"/>
      <c r="D48" s="29"/>
      <c r="E48" s="28"/>
      <c r="F48" s="30" t="s">
        <v>4</v>
      </c>
      <c r="G48" s="31" t="s">
        <v>4</v>
      </c>
      <c r="H48" s="32">
        <v>18397.59</v>
      </c>
      <c r="I48" s="33">
        <v>91950</v>
      </c>
      <c r="J48" s="35"/>
      <c r="K48" s="35"/>
      <c r="L48" s="34"/>
      <c r="M48" s="33">
        <v>-29946.27</v>
      </c>
      <c r="N48" s="34"/>
      <c r="O48" s="36">
        <v>-598.92539999999997</v>
      </c>
      <c r="P48" s="37"/>
    </row>
    <row r="49" spans="1:16" x14ac:dyDescent="0.25">
      <c r="A49" s="27" t="s">
        <v>60</v>
      </c>
      <c r="B49" s="29"/>
      <c r="C49" s="29"/>
      <c r="D49" s="29"/>
      <c r="E49" s="28"/>
      <c r="F49" s="30" t="s">
        <v>4</v>
      </c>
      <c r="G49" s="31" t="s">
        <v>4</v>
      </c>
      <c r="H49" s="32">
        <v>17276.349999999999</v>
      </c>
      <c r="I49" s="33">
        <v>130650</v>
      </c>
      <c r="J49" s="35"/>
      <c r="K49" s="35"/>
      <c r="L49" s="34"/>
      <c r="M49" s="33">
        <v>8753.73</v>
      </c>
      <c r="N49" s="34"/>
      <c r="O49" s="36">
        <v>0</v>
      </c>
      <c r="P49" s="37"/>
    </row>
    <row r="50" spans="1:16" x14ac:dyDescent="0.25">
      <c r="A50" s="27" t="s">
        <v>61</v>
      </c>
      <c r="B50" s="29"/>
      <c r="C50" s="29"/>
      <c r="D50" s="29"/>
      <c r="E50" s="28"/>
      <c r="F50" s="30" t="s">
        <v>4</v>
      </c>
      <c r="G50" s="31" t="s">
        <v>4</v>
      </c>
      <c r="H50" s="32">
        <v>16142.97</v>
      </c>
      <c r="I50" s="33">
        <v>138085</v>
      </c>
      <c r="J50" s="35"/>
      <c r="K50" s="35"/>
      <c r="L50" s="34"/>
      <c r="M50" s="33">
        <v>16188.73</v>
      </c>
      <c r="N50" s="34"/>
      <c r="O50" s="36">
        <v>0</v>
      </c>
      <c r="P50" s="37"/>
    </row>
    <row r="51" spans="1:16" x14ac:dyDescent="0.25">
      <c r="A51" s="27" t="s">
        <v>62</v>
      </c>
      <c r="B51" s="29"/>
      <c r="C51" s="29"/>
      <c r="D51" s="29"/>
      <c r="E51" s="28"/>
      <c r="F51" s="30" t="s">
        <v>4</v>
      </c>
      <c r="G51" s="31" t="s">
        <v>4</v>
      </c>
      <c r="H51" s="32">
        <v>14997.31</v>
      </c>
      <c r="I51" s="33">
        <v>116223</v>
      </c>
      <c r="J51" s="35"/>
      <c r="K51" s="35"/>
      <c r="L51" s="34"/>
      <c r="M51" s="33">
        <v>-5673.27</v>
      </c>
      <c r="N51" s="34"/>
      <c r="O51" s="36">
        <v>-113.46540000000002</v>
      </c>
      <c r="P51" s="37"/>
    </row>
    <row r="52" spans="1:16" x14ac:dyDescent="0.25">
      <c r="A52" s="27" t="s">
        <v>63</v>
      </c>
      <c r="B52" s="29"/>
      <c r="C52" s="29"/>
      <c r="D52" s="29"/>
      <c r="E52" s="28"/>
      <c r="F52" s="30" t="s">
        <v>4</v>
      </c>
      <c r="G52" s="31" t="s">
        <v>4</v>
      </c>
      <c r="H52" s="32">
        <v>13839.24</v>
      </c>
      <c r="I52" s="33">
        <v>85773</v>
      </c>
      <c r="J52" s="35"/>
      <c r="K52" s="35"/>
      <c r="L52" s="34"/>
      <c r="M52" s="33">
        <v>-36123.269999999997</v>
      </c>
      <c r="N52" s="34"/>
      <c r="O52" s="36">
        <v>-722.46539999999993</v>
      </c>
      <c r="P52" s="37"/>
    </row>
    <row r="53" spans="1:16" x14ac:dyDescent="0.25">
      <c r="A53" s="27" t="s">
        <v>64</v>
      </c>
      <c r="B53" s="29"/>
      <c r="C53" s="29"/>
      <c r="D53" s="29"/>
      <c r="E53" s="28"/>
      <c r="F53" s="30" t="s">
        <v>4</v>
      </c>
      <c r="G53" s="31" t="s">
        <v>4</v>
      </c>
      <c r="H53" s="32">
        <v>12668.62</v>
      </c>
      <c r="I53" s="33">
        <v>101300</v>
      </c>
      <c r="J53" s="35"/>
      <c r="K53" s="35"/>
      <c r="L53" s="34"/>
      <c r="M53" s="33">
        <v>-20596.27</v>
      </c>
      <c r="N53" s="34"/>
      <c r="O53" s="36">
        <v>-411.92540000000002</v>
      </c>
      <c r="P53" s="37"/>
    </row>
    <row r="54" spans="1:16" x14ac:dyDescent="0.25">
      <c r="A54" s="27" t="s">
        <v>65</v>
      </c>
      <c r="B54" s="29"/>
      <c r="C54" s="29"/>
      <c r="D54" s="29"/>
      <c r="E54" s="28"/>
      <c r="F54" s="30" t="s">
        <v>4</v>
      </c>
      <c r="G54" s="31" t="s">
        <v>4</v>
      </c>
      <c r="H54" s="32">
        <v>11485.32</v>
      </c>
      <c r="I54" s="33">
        <v>58250</v>
      </c>
      <c r="J54" s="35"/>
      <c r="K54" s="35"/>
      <c r="L54" s="34"/>
      <c r="M54" s="33">
        <v>-63646.27</v>
      </c>
      <c r="N54" s="34"/>
      <c r="O54" s="36">
        <v>-1272.9253999999999</v>
      </c>
      <c r="P54" s="37"/>
    </row>
    <row r="55" spans="1:16" x14ac:dyDescent="0.25">
      <c r="A55" s="27" t="s">
        <v>66</v>
      </c>
      <c r="B55" s="29"/>
      <c r="C55" s="29"/>
      <c r="D55" s="29"/>
      <c r="E55" s="28"/>
      <c r="F55" s="30" t="s">
        <v>4</v>
      </c>
      <c r="G55" s="31" t="s">
        <v>4</v>
      </c>
      <c r="H55" s="32">
        <v>10289.200000000001</v>
      </c>
      <c r="I55" s="33">
        <v>92800</v>
      </c>
      <c r="J55" s="35"/>
      <c r="K55" s="35"/>
      <c r="L55" s="34"/>
      <c r="M55" s="33">
        <v>-29096.27</v>
      </c>
      <c r="N55" s="34"/>
      <c r="O55" s="36">
        <v>-581.92539999999997</v>
      </c>
      <c r="P55" s="37"/>
    </row>
    <row r="56" spans="1:16" x14ac:dyDescent="0.25">
      <c r="A56" s="27" t="s">
        <v>67</v>
      </c>
      <c r="B56" s="29"/>
      <c r="C56" s="29"/>
      <c r="D56" s="29"/>
      <c r="E56" s="28"/>
      <c r="F56" s="30" t="s">
        <v>4</v>
      </c>
      <c r="G56" s="31" t="s">
        <v>4</v>
      </c>
      <c r="H56" s="32">
        <v>9080.1299999999992</v>
      </c>
      <c r="I56" s="33">
        <v>108900</v>
      </c>
      <c r="J56" s="35"/>
      <c r="K56" s="35"/>
      <c r="L56" s="34"/>
      <c r="M56" s="33">
        <v>-12996.27</v>
      </c>
      <c r="N56" s="34"/>
      <c r="O56" s="36">
        <v>-259.92540000000002</v>
      </c>
      <c r="P56" s="37"/>
    </row>
    <row r="57" spans="1:16" x14ac:dyDescent="0.25">
      <c r="A57" s="27" t="s">
        <v>68</v>
      </c>
      <c r="B57" s="29"/>
      <c r="C57" s="29"/>
      <c r="D57" s="29"/>
      <c r="E57" s="28"/>
      <c r="F57" s="30" t="s">
        <v>4</v>
      </c>
      <c r="G57" s="31" t="s">
        <v>4</v>
      </c>
      <c r="H57" s="32">
        <v>0</v>
      </c>
      <c r="I57" s="33">
        <v>114300</v>
      </c>
      <c r="J57" s="35"/>
      <c r="K57" s="35"/>
      <c r="L57" s="34"/>
      <c r="M57" s="33">
        <v>114300</v>
      </c>
      <c r="N57" s="34"/>
      <c r="O57" s="36" t="s">
        <v>4</v>
      </c>
      <c r="P57" s="37"/>
    </row>
    <row r="58" spans="1:16" x14ac:dyDescent="0.25">
      <c r="A58" s="27" t="s">
        <v>69</v>
      </c>
      <c r="B58" s="29"/>
      <c r="C58" s="29"/>
      <c r="D58" s="29"/>
      <c r="E58" s="28"/>
      <c r="F58" s="30" t="s">
        <v>4</v>
      </c>
      <c r="G58" s="31" t="s">
        <v>4</v>
      </c>
      <c r="H58" s="32">
        <v>0</v>
      </c>
      <c r="I58" s="33">
        <v>60700</v>
      </c>
      <c r="J58" s="35"/>
      <c r="K58" s="35"/>
      <c r="L58" s="34"/>
      <c r="M58" s="33">
        <v>60700</v>
      </c>
      <c r="N58" s="34"/>
      <c r="O58" s="36" t="s">
        <v>4</v>
      </c>
      <c r="P58" s="37"/>
    </row>
    <row r="59" spans="1:16" ht="26.25" x14ac:dyDescent="0.4">
      <c r="O59" s="40" t="s">
        <v>71</v>
      </c>
      <c r="P59" s="41">
        <f>SUM(O8:P56)</f>
        <v>-13259.5888</v>
      </c>
    </row>
    <row r="60" spans="1:16" ht="26.25" x14ac:dyDescent="0.4">
      <c r="O60" s="40" t="s">
        <v>72</v>
      </c>
      <c r="P60" s="42">
        <v>394842.46</v>
      </c>
    </row>
    <row r="61" spans="1:16" ht="26.25" x14ac:dyDescent="0.4">
      <c r="O61" s="40" t="s">
        <v>73</v>
      </c>
      <c r="P61" s="43">
        <f>540000-P60+P59</f>
        <v>131897.95119999998</v>
      </c>
    </row>
  </sheetData>
  <mergeCells count="232">
    <mergeCell ref="A57:E57"/>
    <mergeCell ref="I57:L57"/>
    <mergeCell ref="M57:N57"/>
    <mergeCell ref="O57:P57"/>
    <mergeCell ref="A58:E58"/>
    <mergeCell ref="I58:L58"/>
    <mergeCell ref="M58:N58"/>
    <mergeCell ref="O58:P58"/>
    <mergeCell ref="A55:E55"/>
    <mergeCell ref="I55:L55"/>
    <mergeCell ref="M55:N55"/>
    <mergeCell ref="O55:P55"/>
    <mergeCell ref="A56:E56"/>
    <mergeCell ref="I56:L56"/>
    <mergeCell ref="M56:N56"/>
    <mergeCell ref="O56:P56"/>
    <mergeCell ref="A53:E53"/>
    <mergeCell ref="I53:L53"/>
    <mergeCell ref="M53:N53"/>
    <mergeCell ref="O53:P53"/>
    <mergeCell ref="A54:E54"/>
    <mergeCell ref="I54:L54"/>
    <mergeCell ref="M54:N54"/>
    <mergeCell ref="O54:P54"/>
    <mergeCell ref="A51:E51"/>
    <mergeCell ref="I51:L51"/>
    <mergeCell ref="M51:N51"/>
    <mergeCell ref="O51:P51"/>
    <mergeCell ref="A52:E52"/>
    <mergeCell ref="I52:L52"/>
    <mergeCell ref="M52:N52"/>
    <mergeCell ref="O52:P52"/>
    <mergeCell ref="A49:E49"/>
    <mergeCell ref="I49:L49"/>
    <mergeCell ref="M49:N49"/>
    <mergeCell ref="O49:P49"/>
    <mergeCell ref="A50:E50"/>
    <mergeCell ref="I50:L50"/>
    <mergeCell ref="M50:N50"/>
    <mergeCell ref="O50:P50"/>
    <mergeCell ref="A47:E47"/>
    <mergeCell ref="I47:L47"/>
    <mergeCell ref="M47:N47"/>
    <mergeCell ref="O47:P47"/>
    <mergeCell ref="A48:E48"/>
    <mergeCell ref="I48:L48"/>
    <mergeCell ref="M48:N48"/>
    <mergeCell ref="O48:P48"/>
    <mergeCell ref="A45:E45"/>
    <mergeCell ref="I45:L45"/>
    <mergeCell ref="M45:N45"/>
    <mergeCell ref="O45:P45"/>
    <mergeCell ref="A46:E46"/>
    <mergeCell ref="I46:L46"/>
    <mergeCell ref="M46:N46"/>
    <mergeCell ref="O46:P46"/>
    <mergeCell ref="A43:E43"/>
    <mergeCell ref="I43:L43"/>
    <mergeCell ref="M43:N43"/>
    <mergeCell ref="O43:P43"/>
    <mergeCell ref="A44:E44"/>
    <mergeCell ref="I44:L44"/>
    <mergeCell ref="M44:N44"/>
    <mergeCell ref="O44:P44"/>
    <mergeCell ref="A41:E41"/>
    <mergeCell ref="I41:L41"/>
    <mergeCell ref="M41:N41"/>
    <mergeCell ref="O41:P41"/>
    <mergeCell ref="A42:E42"/>
    <mergeCell ref="I42:L42"/>
    <mergeCell ref="M42:N42"/>
    <mergeCell ref="O42:P42"/>
    <mergeCell ref="A39:E39"/>
    <mergeCell ref="I39:L39"/>
    <mergeCell ref="M39:N39"/>
    <mergeCell ref="O39:P39"/>
    <mergeCell ref="A40:E40"/>
    <mergeCell ref="I40:L40"/>
    <mergeCell ref="M40:N40"/>
    <mergeCell ref="O40:P40"/>
    <mergeCell ref="A37:E37"/>
    <mergeCell ref="I37:L37"/>
    <mergeCell ref="M37:N37"/>
    <mergeCell ref="O37:P37"/>
    <mergeCell ref="A38:E38"/>
    <mergeCell ref="I38:L38"/>
    <mergeCell ref="M38:N38"/>
    <mergeCell ref="O38:P38"/>
    <mergeCell ref="A35:E35"/>
    <mergeCell ref="I35:L35"/>
    <mergeCell ref="M35:N35"/>
    <mergeCell ref="O35:P35"/>
    <mergeCell ref="A36:E36"/>
    <mergeCell ref="I36:L36"/>
    <mergeCell ref="M36:N36"/>
    <mergeCell ref="O36:P36"/>
    <mergeCell ref="A33:E33"/>
    <mergeCell ref="I33:L33"/>
    <mergeCell ref="M33:N33"/>
    <mergeCell ref="O33:P33"/>
    <mergeCell ref="A34:E34"/>
    <mergeCell ref="I34:L34"/>
    <mergeCell ref="M34:N34"/>
    <mergeCell ref="O34:P34"/>
    <mergeCell ref="A31:E31"/>
    <mergeCell ref="I31:L31"/>
    <mergeCell ref="M31:N31"/>
    <mergeCell ref="O31:P31"/>
    <mergeCell ref="A32:E32"/>
    <mergeCell ref="I32:L32"/>
    <mergeCell ref="M32:N32"/>
    <mergeCell ref="O32:P32"/>
    <mergeCell ref="A29:E29"/>
    <mergeCell ref="I29:L29"/>
    <mergeCell ref="M29:N29"/>
    <mergeCell ref="O29:P29"/>
    <mergeCell ref="A30:E30"/>
    <mergeCell ref="I30:L30"/>
    <mergeCell ref="M30:N30"/>
    <mergeCell ref="O30:P30"/>
    <mergeCell ref="A27:E27"/>
    <mergeCell ref="I27:L27"/>
    <mergeCell ref="M27:N27"/>
    <mergeCell ref="O27:P27"/>
    <mergeCell ref="A28:E28"/>
    <mergeCell ref="I28:L28"/>
    <mergeCell ref="M28:N28"/>
    <mergeCell ref="O28:P28"/>
    <mergeCell ref="A25:E25"/>
    <mergeCell ref="I25:L25"/>
    <mergeCell ref="M25:N25"/>
    <mergeCell ref="O25:P25"/>
    <mergeCell ref="A26:E26"/>
    <mergeCell ref="I26:L26"/>
    <mergeCell ref="M26:N26"/>
    <mergeCell ref="O26:P26"/>
    <mergeCell ref="A23:E23"/>
    <mergeCell ref="I23:L23"/>
    <mergeCell ref="M23:N23"/>
    <mergeCell ref="O23:P23"/>
    <mergeCell ref="A24:E24"/>
    <mergeCell ref="I24:L24"/>
    <mergeCell ref="M24:N24"/>
    <mergeCell ref="O24:P24"/>
    <mergeCell ref="A21:E21"/>
    <mergeCell ref="I21:L21"/>
    <mergeCell ref="M21:N21"/>
    <mergeCell ref="O21:P21"/>
    <mergeCell ref="A22:E22"/>
    <mergeCell ref="I22:L22"/>
    <mergeCell ref="M22:N22"/>
    <mergeCell ref="O22:P22"/>
    <mergeCell ref="A19:E19"/>
    <mergeCell ref="I19:L19"/>
    <mergeCell ref="M19:N19"/>
    <mergeCell ref="O19:P19"/>
    <mergeCell ref="A20:E20"/>
    <mergeCell ref="I20:L20"/>
    <mergeCell ref="M20:N20"/>
    <mergeCell ref="O20:P20"/>
    <mergeCell ref="A17:E17"/>
    <mergeCell ref="I17:L17"/>
    <mergeCell ref="M17:N17"/>
    <mergeCell ref="O17:P17"/>
    <mergeCell ref="A18:E18"/>
    <mergeCell ref="I18:L18"/>
    <mergeCell ref="M18:N18"/>
    <mergeCell ref="O18:P18"/>
    <mergeCell ref="A15:E15"/>
    <mergeCell ref="I15:L15"/>
    <mergeCell ref="M15:N15"/>
    <mergeCell ref="O15:P15"/>
    <mergeCell ref="A16:E16"/>
    <mergeCell ref="I16:L16"/>
    <mergeCell ref="M16:N16"/>
    <mergeCell ref="O16:P16"/>
    <mergeCell ref="A13:E13"/>
    <mergeCell ref="I13:L13"/>
    <mergeCell ref="M13:N13"/>
    <mergeCell ref="O13:P13"/>
    <mergeCell ref="A14:E14"/>
    <mergeCell ref="I14:L14"/>
    <mergeCell ref="M14:N14"/>
    <mergeCell ref="O14:P14"/>
    <mergeCell ref="A11:E11"/>
    <mergeCell ref="I11:L11"/>
    <mergeCell ref="M11:N11"/>
    <mergeCell ref="O11:P11"/>
    <mergeCell ref="A12:E12"/>
    <mergeCell ref="I12:L12"/>
    <mergeCell ref="M12:N12"/>
    <mergeCell ref="O12:P12"/>
    <mergeCell ref="A9:E9"/>
    <mergeCell ref="I9:L9"/>
    <mergeCell ref="M9:N9"/>
    <mergeCell ref="O9:P9"/>
    <mergeCell ref="A10:E10"/>
    <mergeCell ref="I10:L10"/>
    <mergeCell ref="M10:N10"/>
    <mergeCell ref="O10:P10"/>
    <mergeCell ref="A7:E7"/>
    <mergeCell ref="I7:L7"/>
    <mergeCell ref="M7:N7"/>
    <mergeCell ref="O7:P7"/>
    <mergeCell ref="A8:E8"/>
    <mergeCell ref="I8:L8"/>
    <mergeCell ref="M8:N8"/>
    <mergeCell ref="O8:P8"/>
    <mergeCell ref="A5:E5"/>
    <mergeCell ref="I5:L5"/>
    <mergeCell ref="M5:N5"/>
    <mergeCell ref="O5:P5"/>
    <mergeCell ref="A6:E6"/>
    <mergeCell ref="I6:L6"/>
    <mergeCell ref="M6:N6"/>
    <mergeCell ref="O6:P6"/>
    <mergeCell ref="A3:E3"/>
    <mergeCell ref="I3:L3"/>
    <mergeCell ref="M3:N3"/>
    <mergeCell ref="O3:P3"/>
    <mergeCell ref="A4:E4"/>
    <mergeCell ref="I4:L4"/>
    <mergeCell ref="M4:N4"/>
    <mergeCell ref="O4:P4"/>
    <mergeCell ref="A1:E1"/>
    <mergeCell ref="I1:L1"/>
    <mergeCell ref="M1:N1"/>
    <mergeCell ref="O1:P1"/>
    <mergeCell ref="A2:E2"/>
    <mergeCell ref="I2:L2"/>
    <mergeCell ref="M2:N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72D1-6663-4683-873B-7A8F54AF70D5}">
  <dimension ref="A1:P33"/>
  <sheetViews>
    <sheetView tabSelected="1" topLeftCell="A13" workbookViewId="0">
      <selection activeCell="P34" sqref="P34"/>
    </sheetView>
  </sheetViews>
  <sheetFormatPr defaultRowHeight="15" x14ac:dyDescent="0.25"/>
  <cols>
    <col min="5" max="5" width="6.140625" customWidth="1"/>
    <col min="6" max="6" width="16.7109375" customWidth="1"/>
    <col min="15" max="15" width="33.85546875" customWidth="1"/>
    <col min="16" max="16" width="21.42578125" customWidth="1"/>
  </cols>
  <sheetData>
    <row r="1" spans="1:16" ht="22.5" x14ac:dyDescent="0.25">
      <c r="A1" s="1" t="s">
        <v>0</v>
      </c>
      <c r="B1" s="1"/>
      <c r="C1" s="1"/>
      <c r="D1" s="1"/>
      <c r="E1" s="1"/>
      <c r="F1" s="2" t="s">
        <v>74</v>
      </c>
      <c r="G1" s="3" t="s">
        <v>2</v>
      </c>
      <c r="H1" s="4" t="s">
        <v>75</v>
      </c>
      <c r="I1" s="5" t="s">
        <v>4</v>
      </c>
      <c r="J1" s="5"/>
      <c r="K1" s="5"/>
      <c r="L1" s="5"/>
      <c r="M1" s="6" t="s">
        <v>4</v>
      </c>
      <c r="N1" s="6"/>
      <c r="O1" s="6" t="s">
        <v>4</v>
      </c>
      <c r="P1" s="6"/>
    </row>
    <row r="2" spans="1:16" x14ac:dyDescent="0.25">
      <c r="A2" s="1" t="s">
        <v>5</v>
      </c>
      <c r="B2" s="1"/>
      <c r="C2" s="1"/>
      <c r="D2" s="1"/>
      <c r="E2" s="1"/>
      <c r="F2" s="4" t="s">
        <v>6</v>
      </c>
      <c r="G2" s="7" t="s">
        <v>7</v>
      </c>
      <c r="H2" s="4" t="s">
        <v>76</v>
      </c>
      <c r="I2" s="5" t="s">
        <v>4</v>
      </c>
      <c r="J2" s="5"/>
      <c r="K2" s="5"/>
      <c r="L2" s="5"/>
      <c r="M2" s="8" t="s">
        <v>4</v>
      </c>
      <c r="N2" s="8"/>
      <c r="O2" s="8" t="s">
        <v>4</v>
      </c>
      <c r="P2" s="8"/>
    </row>
    <row r="3" spans="1:16" x14ac:dyDescent="0.25">
      <c r="A3" s="1" t="s">
        <v>9</v>
      </c>
      <c r="B3" s="1"/>
      <c r="C3" s="1"/>
      <c r="D3" s="1"/>
      <c r="E3" s="1"/>
      <c r="F3" s="9">
        <v>488901.46</v>
      </c>
      <c r="G3" s="7" t="s">
        <v>4</v>
      </c>
      <c r="H3" s="4" t="s">
        <v>4</v>
      </c>
      <c r="I3" s="5" t="s">
        <v>4</v>
      </c>
      <c r="J3" s="5"/>
      <c r="K3" s="5"/>
      <c r="L3" s="5"/>
      <c r="M3" s="8" t="s">
        <v>4</v>
      </c>
      <c r="N3" s="8"/>
      <c r="O3" s="8" t="s">
        <v>4</v>
      </c>
      <c r="P3" s="8"/>
    </row>
    <row r="4" spans="1:16" x14ac:dyDescent="0.25">
      <c r="A4" s="11" t="s">
        <v>10</v>
      </c>
      <c r="B4" s="11"/>
      <c r="C4" s="11"/>
      <c r="D4" s="11"/>
      <c r="E4" s="11"/>
      <c r="F4" s="12">
        <v>121896.27</v>
      </c>
      <c r="G4" s="7" t="s">
        <v>4</v>
      </c>
      <c r="H4" s="4" t="s">
        <v>4</v>
      </c>
      <c r="I4" s="5" t="s">
        <v>4</v>
      </c>
      <c r="J4" s="5"/>
      <c r="K4" s="5"/>
      <c r="L4" s="5"/>
      <c r="M4" s="8" t="s">
        <v>4</v>
      </c>
      <c r="N4" s="8"/>
      <c r="O4" s="8" t="s">
        <v>4</v>
      </c>
      <c r="P4" s="8"/>
    </row>
    <row r="5" spans="1:16" x14ac:dyDescent="0.25">
      <c r="A5" s="13" t="s">
        <v>4</v>
      </c>
      <c r="B5" s="13"/>
      <c r="C5" s="13"/>
      <c r="D5" s="13"/>
      <c r="E5" s="13"/>
      <c r="F5" s="10" t="s">
        <v>4</v>
      </c>
      <c r="G5" s="10" t="s">
        <v>4</v>
      </c>
      <c r="H5" s="10" t="s">
        <v>4</v>
      </c>
      <c r="I5" s="11" t="s">
        <v>4</v>
      </c>
      <c r="J5" s="11"/>
      <c r="K5" s="11"/>
      <c r="L5" s="11"/>
      <c r="M5" s="14" t="s">
        <v>4</v>
      </c>
      <c r="N5" s="14"/>
      <c r="O5" s="14" t="s">
        <v>4</v>
      </c>
      <c r="P5" s="15"/>
    </row>
    <row r="6" spans="1:16" x14ac:dyDescent="0.25">
      <c r="A6" s="11" t="s">
        <v>4</v>
      </c>
      <c r="B6" s="11"/>
      <c r="C6" s="11"/>
      <c r="D6" s="11"/>
      <c r="E6" s="11"/>
      <c r="F6" s="10" t="s">
        <v>4</v>
      </c>
      <c r="G6" s="10" t="s">
        <v>4</v>
      </c>
      <c r="H6" s="10" t="s">
        <v>4</v>
      </c>
      <c r="I6" s="14" t="s">
        <v>11</v>
      </c>
      <c r="J6" s="14"/>
      <c r="K6" s="14"/>
      <c r="L6" s="14"/>
      <c r="M6" s="16" t="s">
        <v>4</v>
      </c>
      <c r="N6" s="16"/>
      <c r="O6" s="16" t="s">
        <v>4</v>
      </c>
      <c r="P6" s="17"/>
    </row>
    <row r="7" spans="1:16" ht="24" x14ac:dyDescent="0.25">
      <c r="A7" s="19" t="s">
        <v>12</v>
      </c>
      <c r="B7" s="21"/>
      <c r="C7" s="21"/>
      <c r="D7" s="21"/>
      <c r="E7" s="20"/>
      <c r="F7" s="18" t="s">
        <v>13</v>
      </c>
      <c r="G7" s="18" t="s">
        <v>14</v>
      </c>
      <c r="H7" s="22" t="s">
        <v>15</v>
      </c>
      <c r="I7" s="23" t="s">
        <v>16</v>
      </c>
      <c r="J7" s="25"/>
      <c r="K7" s="25"/>
      <c r="L7" s="24"/>
      <c r="M7" s="23" t="s">
        <v>17</v>
      </c>
      <c r="N7" s="24"/>
      <c r="O7" s="23" t="s">
        <v>18</v>
      </c>
      <c r="P7" s="26"/>
    </row>
    <row r="8" spans="1:16" x14ac:dyDescent="0.25">
      <c r="A8" s="27" t="s">
        <v>47</v>
      </c>
      <c r="B8" s="29"/>
      <c r="C8" s="29"/>
      <c r="D8" s="29"/>
      <c r="E8" s="28"/>
      <c r="F8" s="30" t="s">
        <v>4</v>
      </c>
      <c r="G8" s="31" t="s">
        <v>4</v>
      </c>
      <c r="H8" s="32">
        <v>3480291.07</v>
      </c>
      <c r="I8" s="33">
        <v>976000</v>
      </c>
      <c r="J8" s="35"/>
      <c r="K8" s="35"/>
      <c r="L8" s="34"/>
      <c r="M8" s="33">
        <v>854103.73</v>
      </c>
      <c r="N8" s="34"/>
      <c r="O8" s="36" t="s">
        <v>4</v>
      </c>
      <c r="P8" s="37"/>
    </row>
    <row r="9" spans="1:16" x14ac:dyDescent="0.25">
      <c r="A9" s="27" t="s">
        <v>48</v>
      </c>
      <c r="B9" s="29"/>
      <c r="C9" s="29"/>
      <c r="D9" s="29"/>
      <c r="E9" s="28"/>
      <c r="F9" s="30" t="s">
        <v>4</v>
      </c>
      <c r="G9" s="31" t="s">
        <v>4</v>
      </c>
      <c r="H9" s="32">
        <v>29965.75</v>
      </c>
      <c r="I9" s="33">
        <v>93450</v>
      </c>
      <c r="J9" s="35"/>
      <c r="K9" s="35"/>
      <c r="L9" s="34"/>
      <c r="M9" s="33">
        <v>-28446.27</v>
      </c>
      <c r="N9" s="34"/>
      <c r="O9" s="36">
        <v>-568.92539999999997</v>
      </c>
      <c r="P9" s="37"/>
    </row>
    <row r="10" spans="1:16" x14ac:dyDescent="0.25">
      <c r="A10" s="27" t="s">
        <v>49</v>
      </c>
      <c r="B10" s="29"/>
      <c r="C10" s="29"/>
      <c r="D10" s="29"/>
      <c r="E10" s="28"/>
      <c r="F10" s="30" t="s">
        <v>4</v>
      </c>
      <c r="G10" s="31" t="s">
        <v>4</v>
      </c>
      <c r="H10" s="32">
        <v>28969.84</v>
      </c>
      <c r="I10" s="33">
        <v>114700</v>
      </c>
      <c r="J10" s="35"/>
      <c r="K10" s="35"/>
      <c r="L10" s="34"/>
      <c r="M10" s="33">
        <v>-7196.27</v>
      </c>
      <c r="N10" s="34"/>
      <c r="O10" s="36">
        <v>-143.92540000000002</v>
      </c>
      <c r="P10" s="37"/>
    </row>
    <row r="11" spans="1:16" x14ac:dyDescent="0.25">
      <c r="A11" s="27" t="s">
        <v>50</v>
      </c>
      <c r="B11" s="29"/>
      <c r="C11" s="29"/>
      <c r="D11" s="29"/>
      <c r="E11" s="28"/>
      <c r="F11" s="30" t="s">
        <v>4</v>
      </c>
      <c r="G11" s="31" t="s">
        <v>4</v>
      </c>
      <c r="H11" s="32">
        <v>27963.14</v>
      </c>
      <c r="I11" s="33">
        <v>118150</v>
      </c>
      <c r="J11" s="35"/>
      <c r="K11" s="35"/>
      <c r="L11" s="34"/>
      <c r="M11" s="33">
        <v>-3746.27</v>
      </c>
      <c r="N11" s="34"/>
      <c r="O11" s="36">
        <v>-74.925399999999996</v>
      </c>
      <c r="P11" s="37"/>
    </row>
    <row r="12" spans="1:16" x14ac:dyDescent="0.25">
      <c r="A12" s="27" t="s">
        <v>51</v>
      </c>
      <c r="B12" s="29"/>
      <c r="C12" s="29"/>
      <c r="D12" s="29"/>
      <c r="E12" s="28"/>
      <c r="F12" s="30" t="s">
        <v>4</v>
      </c>
      <c r="G12" s="31" t="s">
        <v>4</v>
      </c>
      <c r="H12" s="32">
        <v>26945.53</v>
      </c>
      <c r="I12" s="33">
        <v>85200</v>
      </c>
      <c r="J12" s="35"/>
      <c r="K12" s="35"/>
      <c r="L12" s="34"/>
      <c r="M12" s="33">
        <v>-36696.269999999997</v>
      </c>
      <c r="N12" s="34"/>
      <c r="O12" s="36">
        <v>-733.92539999999997</v>
      </c>
      <c r="P12" s="37"/>
    </row>
    <row r="13" spans="1:16" x14ac:dyDescent="0.25">
      <c r="A13" s="27" t="s">
        <v>52</v>
      </c>
      <c r="B13" s="29"/>
      <c r="C13" s="29"/>
      <c r="D13" s="29"/>
      <c r="E13" s="28"/>
      <c r="F13" s="30" t="s">
        <v>4</v>
      </c>
      <c r="G13" s="31" t="s">
        <v>4</v>
      </c>
      <c r="H13" s="32">
        <v>25916.89</v>
      </c>
      <c r="I13" s="33">
        <v>202184</v>
      </c>
      <c r="J13" s="35"/>
      <c r="K13" s="35"/>
      <c r="L13" s="34"/>
      <c r="M13" s="33">
        <v>80287.73</v>
      </c>
      <c r="N13" s="34"/>
      <c r="O13" s="36"/>
      <c r="P13" s="37"/>
    </row>
    <row r="14" spans="1:16" x14ac:dyDescent="0.25">
      <c r="A14" s="27" t="s">
        <v>53</v>
      </c>
      <c r="B14" s="29"/>
      <c r="C14" s="29"/>
      <c r="D14" s="29"/>
      <c r="E14" s="28"/>
      <c r="F14" s="30" t="s">
        <v>4</v>
      </c>
      <c r="G14" s="31" t="s">
        <v>4</v>
      </c>
      <c r="H14" s="32">
        <v>24877.119999999999</v>
      </c>
      <c r="I14" s="33">
        <v>129650</v>
      </c>
      <c r="J14" s="35"/>
      <c r="K14" s="35"/>
      <c r="L14" s="34"/>
      <c r="M14" s="33">
        <v>7753.73</v>
      </c>
      <c r="N14" s="34"/>
      <c r="O14" s="36"/>
      <c r="P14" s="37"/>
    </row>
    <row r="15" spans="1:16" x14ac:dyDescent="0.25">
      <c r="A15" s="27" t="s">
        <v>54</v>
      </c>
      <c r="B15" s="29"/>
      <c r="C15" s="29"/>
      <c r="D15" s="29"/>
      <c r="E15" s="28"/>
      <c r="F15" s="30" t="s">
        <v>4</v>
      </c>
      <c r="G15" s="31" t="s">
        <v>4</v>
      </c>
      <c r="H15" s="32">
        <v>23826.080000000002</v>
      </c>
      <c r="I15" s="33">
        <v>107600</v>
      </c>
      <c r="J15" s="35"/>
      <c r="K15" s="35"/>
      <c r="L15" s="34"/>
      <c r="M15" s="33">
        <v>-14296.27</v>
      </c>
      <c r="N15" s="34"/>
      <c r="O15" s="36">
        <v>-285.92540000000002</v>
      </c>
      <c r="P15" s="37"/>
    </row>
    <row r="16" spans="1:16" x14ac:dyDescent="0.25">
      <c r="A16" s="27" t="s">
        <v>55</v>
      </c>
      <c r="B16" s="29"/>
      <c r="C16" s="29"/>
      <c r="D16" s="29"/>
      <c r="E16" s="28"/>
      <c r="F16" s="30" t="s">
        <v>4</v>
      </c>
      <c r="G16" s="31" t="s">
        <v>4</v>
      </c>
      <c r="H16" s="32">
        <v>22763.65</v>
      </c>
      <c r="I16" s="33">
        <v>111040</v>
      </c>
      <c r="J16" s="35"/>
      <c r="K16" s="35"/>
      <c r="L16" s="34"/>
      <c r="M16" s="33">
        <v>-10856.27</v>
      </c>
      <c r="N16" s="34"/>
      <c r="O16" s="36">
        <v>-217.12540000000001</v>
      </c>
      <c r="P16" s="37"/>
    </row>
    <row r="17" spans="1:16" x14ac:dyDescent="0.25">
      <c r="A17" s="27" t="s">
        <v>56</v>
      </c>
      <c r="B17" s="29"/>
      <c r="C17" s="29"/>
      <c r="D17" s="29"/>
      <c r="E17" s="28"/>
      <c r="F17" s="30" t="s">
        <v>4</v>
      </c>
      <c r="G17" s="31" t="s">
        <v>4</v>
      </c>
      <c r="H17" s="32">
        <v>21689.71</v>
      </c>
      <c r="I17" s="33">
        <v>67350</v>
      </c>
      <c r="J17" s="35"/>
      <c r="K17" s="35"/>
      <c r="L17" s="34"/>
      <c r="M17" s="33">
        <v>-54546.27</v>
      </c>
      <c r="N17" s="34"/>
      <c r="O17" s="36">
        <v>-1090.9253999999999</v>
      </c>
      <c r="P17" s="37"/>
    </row>
    <row r="18" spans="1:16" x14ac:dyDescent="0.25">
      <c r="A18" s="27" t="s">
        <v>57</v>
      </c>
      <c r="B18" s="29"/>
      <c r="C18" s="29"/>
      <c r="D18" s="29"/>
      <c r="E18" s="28"/>
      <c r="F18" s="30" t="s">
        <v>4</v>
      </c>
      <c r="G18" s="31" t="s">
        <v>4</v>
      </c>
      <c r="H18" s="32">
        <v>20604.14</v>
      </c>
      <c r="I18" s="33">
        <v>189550</v>
      </c>
      <c r="J18" s="35"/>
      <c r="K18" s="35"/>
      <c r="L18" s="34"/>
      <c r="M18" s="33">
        <v>67653.73</v>
      </c>
      <c r="N18" s="34"/>
      <c r="O18" s="36"/>
      <c r="P18" s="37"/>
    </row>
    <row r="19" spans="1:16" x14ac:dyDescent="0.25">
      <c r="A19" s="27" t="s">
        <v>58</v>
      </c>
      <c r="B19" s="29"/>
      <c r="C19" s="29"/>
      <c r="D19" s="29"/>
      <c r="E19" s="28"/>
      <c r="F19" s="30" t="s">
        <v>4</v>
      </c>
      <c r="G19" s="31" t="s">
        <v>4</v>
      </c>
      <c r="H19" s="32">
        <v>19506.810000000001</v>
      </c>
      <c r="I19" s="33">
        <v>74650</v>
      </c>
      <c r="J19" s="35"/>
      <c r="K19" s="35"/>
      <c r="L19" s="34"/>
      <c r="M19" s="33">
        <v>-47246.27</v>
      </c>
      <c r="N19" s="34"/>
      <c r="O19" s="36">
        <v>-944.92539999999997</v>
      </c>
      <c r="P19" s="37"/>
    </row>
    <row r="20" spans="1:16" x14ac:dyDescent="0.25">
      <c r="A20" s="27" t="s">
        <v>59</v>
      </c>
      <c r="B20" s="29"/>
      <c r="C20" s="29"/>
      <c r="D20" s="29"/>
      <c r="E20" s="28"/>
      <c r="F20" s="30" t="s">
        <v>4</v>
      </c>
      <c r="G20" s="31" t="s">
        <v>4</v>
      </c>
      <c r="H20" s="32">
        <v>18397.59</v>
      </c>
      <c r="I20" s="33">
        <v>82350</v>
      </c>
      <c r="J20" s="35"/>
      <c r="K20" s="35"/>
      <c r="L20" s="34"/>
      <c r="M20" s="33">
        <v>-39546.269999999997</v>
      </c>
      <c r="N20" s="34"/>
      <c r="O20" s="36">
        <v>-790.92539999999997</v>
      </c>
      <c r="P20" s="37"/>
    </row>
    <row r="21" spans="1:16" x14ac:dyDescent="0.25">
      <c r="A21" s="27" t="s">
        <v>60</v>
      </c>
      <c r="B21" s="29"/>
      <c r="C21" s="29"/>
      <c r="D21" s="29"/>
      <c r="E21" s="28"/>
      <c r="F21" s="30" t="s">
        <v>4</v>
      </c>
      <c r="G21" s="31" t="s">
        <v>4</v>
      </c>
      <c r="H21" s="32">
        <v>17276.349999999999</v>
      </c>
      <c r="I21" s="33">
        <v>131950</v>
      </c>
      <c r="J21" s="35"/>
      <c r="K21" s="35"/>
      <c r="L21" s="34"/>
      <c r="M21" s="33">
        <v>10053.73</v>
      </c>
      <c r="N21" s="34"/>
      <c r="O21" s="36"/>
      <c r="P21" s="37"/>
    </row>
    <row r="22" spans="1:16" x14ac:dyDescent="0.25">
      <c r="A22" s="27" t="s">
        <v>61</v>
      </c>
      <c r="B22" s="29"/>
      <c r="C22" s="29"/>
      <c r="D22" s="29"/>
      <c r="E22" s="28"/>
      <c r="F22" s="30" t="s">
        <v>4</v>
      </c>
      <c r="G22" s="31" t="s">
        <v>4</v>
      </c>
      <c r="H22" s="32">
        <v>16142.97</v>
      </c>
      <c r="I22" s="33">
        <v>123600</v>
      </c>
      <c r="J22" s="35"/>
      <c r="K22" s="35"/>
      <c r="L22" s="34"/>
      <c r="M22" s="33">
        <v>1703.73</v>
      </c>
      <c r="N22" s="34"/>
      <c r="O22" s="36"/>
      <c r="P22" s="37"/>
    </row>
    <row r="23" spans="1:16" x14ac:dyDescent="0.25">
      <c r="A23" s="27" t="s">
        <v>62</v>
      </c>
      <c r="B23" s="29"/>
      <c r="C23" s="29"/>
      <c r="D23" s="29"/>
      <c r="E23" s="28"/>
      <c r="F23" s="30" t="s">
        <v>4</v>
      </c>
      <c r="G23" s="31" t="s">
        <v>4</v>
      </c>
      <c r="H23" s="32">
        <v>14997.31</v>
      </c>
      <c r="I23" s="33">
        <v>107029</v>
      </c>
      <c r="J23" s="35"/>
      <c r="K23" s="35"/>
      <c r="L23" s="34"/>
      <c r="M23" s="33">
        <v>-14867.27</v>
      </c>
      <c r="N23" s="34"/>
      <c r="O23" s="36">
        <v>-297.34540000000004</v>
      </c>
      <c r="P23" s="37"/>
    </row>
    <row r="24" spans="1:16" x14ac:dyDescent="0.25">
      <c r="A24" s="27" t="s">
        <v>63</v>
      </c>
      <c r="B24" s="29"/>
      <c r="C24" s="29"/>
      <c r="D24" s="29"/>
      <c r="E24" s="28"/>
      <c r="F24" s="30" t="s">
        <v>4</v>
      </c>
      <c r="G24" s="31" t="s">
        <v>4</v>
      </c>
      <c r="H24" s="32">
        <v>13839.24</v>
      </c>
      <c r="I24" s="33">
        <v>96592</v>
      </c>
      <c r="J24" s="35"/>
      <c r="K24" s="35"/>
      <c r="L24" s="34"/>
      <c r="M24" s="33">
        <v>-25304.27</v>
      </c>
      <c r="N24" s="34"/>
      <c r="O24" s="36">
        <v>-506.08539999999999</v>
      </c>
      <c r="P24" s="37"/>
    </row>
    <row r="25" spans="1:16" x14ac:dyDescent="0.25">
      <c r="A25" s="27" t="s">
        <v>64</v>
      </c>
      <c r="B25" s="29"/>
      <c r="C25" s="29"/>
      <c r="D25" s="29"/>
      <c r="E25" s="28"/>
      <c r="F25" s="30" t="s">
        <v>4</v>
      </c>
      <c r="G25" s="31" t="s">
        <v>4</v>
      </c>
      <c r="H25" s="32">
        <v>12668.62</v>
      </c>
      <c r="I25" s="33">
        <v>66900</v>
      </c>
      <c r="J25" s="35"/>
      <c r="K25" s="35"/>
      <c r="L25" s="34"/>
      <c r="M25" s="33">
        <v>-54996.27</v>
      </c>
      <c r="N25" s="34"/>
      <c r="O25" s="36">
        <v>-1099.9253999999999</v>
      </c>
      <c r="P25" s="37"/>
    </row>
    <row r="26" spans="1:16" x14ac:dyDescent="0.25">
      <c r="A26" s="27" t="s">
        <v>65</v>
      </c>
      <c r="B26" s="29"/>
      <c r="C26" s="29"/>
      <c r="D26" s="29"/>
      <c r="E26" s="28"/>
      <c r="F26" s="30" t="s">
        <v>4</v>
      </c>
      <c r="G26" s="31" t="s">
        <v>4</v>
      </c>
      <c r="H26" s="32">
        <v>11485.32</v>
      </c>
      <c r="I26" s="33">
        <v>148200</v>
      </c>
      <c r="J26" s="35"/>
      <c r="K26" s="35"/>
      <c r="L26" s="34"/>
      <c r="M26" s="33">
        <v>26303.73</v>
      </c>
      <c r="N26" s="34"/>
      <c r="O26" s="36"/>
      <c r="P26" s="37"/>
    </row>
    <row r="27" spans="1:16" x14ac:dyDescent="0.25">
      <c r="A27" s="27" t="s">
        <v>66</v>
      </c>
      <c r="B27" s="29"/>
      <c r="C27" s="29"/>
      <c r="D27" s="29"/>
      <c r="E27" s="28"/>
      <c r="F27" s="30" t="s">
        <v>4</v>
      </c>
      <c r="G27" s="31" t="s">
        <v>4</v>
      </c>
      <c r="H27" s="32">
        <v>10289.200000000001</v>
      </c>
      <c r="I27" s="33">
        <v>113600</v>
      </c>
      <c r="J27" s="35"/>
      <c r="K27" s="35"/>
      <c r="L27" s="34"/>
      <c r="M27" s="33">
        <v>-8296.27</v>
      </c>
      <c r="N27" s="34"/>
      <c r="O27" s="36">
        <v>-165.92540000000002</v>
      </c>
      <c r="P27" s="37"/>
    </row>
    <row r="28" spans="1:16" x14ac:dyDescent="0.25">
      <c r="A28" s="27" t="s">
        <v>67</v>
      </c>
      <c r="B28" s="29"/>
      <c r="C28" s="29"/>
      <c r="D28" s="29"/>
      <c r="E28" s="28"/>
      <c r="F28" s="30" t="s">
        <v>4</v>
      </c>
      <c r="G28" s="31" t="s">
        <v>4</v>
      </c>
      <c r="H28" s="32">
        <v>9080.1299999999992</v>
      </c>
      <c r="I28" s="33">
        <v>94750</v>
      </c>
      <c r="J28" s="35"/>
      <c r="K28" s="35"/>
      <c r="L28" s="34"/>
      <c r="M28" s="33">
        <v>-27146.27</v>
      </c>
      <c r="N28" s="34"/>
      <c r="O28" s="36">
        <v>-542.92539999999997</v>
      </c>
      <c r="P28" s="37"/>
    </row>
    <row r="29" spans="1:16" x14ac:dyDescent="0.25">
      <c r="A29" s="27" t="s">
        <v>68</v>
      </c>
      <c r="B29" s="29"/>
      <c r="C29" s="29"/>
      <c r="D29" s="29"/>
      <c r="E29" s="28"/>
      <c r="F29" s="30" t="s">
        <v>4</v>
      </c>
      <c r="G29" s="31" t="s">
        <v>4</v>
      </c>
      <c r="H29" s="32">
        <v>0</v>
      </c>
      <c r="I29" s="33">
        <v>90500</v>
      </c>
      <c r="J29" s="35"/>
      <c r="K29" s="35"/>
      <c r="L29" s="34"/>
      <c r="M29" s="33">
        <v>90500</v>
      </c>
      <c r="N29" s="34"/>
      <c r="O29" s="36" t="s">
        <v>4</v>
      </c>
      <c r="P29" s="37"/>
    </row>
    <row r="30" spans="1:16" x14ac:dyDescent="0.25">
      <c r="A30" s="27" t="s">
        <v>69</v>
      </c>
      <c r="B30" s="29"/>
      <c r="C30" s="29"/>
      <c r="D30" s="29"/>
      <c r="E30" s="28"/>
      <c r="F30" s="30" t="s">
        <v>4</v>
      </c>
      <c r="G30" s="31" t="s">
        <v>4</v>
      </c>
      <c r="H30" s="32">
        <v>0</v>
      </c>
      <c r="I30" s="33">
        <v>63600</v>
      </c>
      <c r="J30" s="35"/>
      <c r="K30" s="35"/>
      <c r="L30" s="34"/>
      <c r="M30" s="33">
        <v>63600</v>
      </c>
      <c r="N30" s="34"/>
      <c r="O30" s="36" t="s">
        <v>4</v>
      </c>
      <c r="P30" s="37"/>
    </row>
    <row r="31" spans="1:16" ht="26.25" x14ac:dyDescent="0.4">
      <c r="O31" s="44" t="s">
        <v>71</v>
      </c>
      <c r="P31" s="45">
        <f>SUM(O8:P28)</f>
        <v>-7463.7356</v>
      </c>
    </row>
    <row r="32" spans="1:16" ht="26.25" x14ac:dyDescent="0.4">
      <c r="O32" s="44" t="s">
        <v>72</v>
      </c>
      <c r="P32" s="46">
        <v>488901.46</v>
      </c>
    </row>
    <row r="33" spans="15:16" ht="26.25" x14ac:dyDescent="0.4">
      <c r="O33" s="44" t="s">
        <v>73</v>
      </c>
      <c r="P33" s="43">
        <f>540000-P32+P31</f>
        <v>43634.804399999979</v>
      </c>
    </row>
  </sheetData>
  <mergeCells count="120">
    <mergeCell ref="A29:E29"/>
    <mergeCell ref="I29:L29"/>
    <mergeCell ref="M29:N29"/>
    <mergeCell ref="O29:P29"/>
    <mergeCell ref="A30:E30"/>
    <mergeCell ref="I30:L30"/>
    <mergeCell ref="M30:N30"/>
    <mergeCell ref="O30:P30"/>
    <mergeCell ref="A27:E27"/>
    <mergeCell ref="I27:L27"/>
    <mergeCell ref="M27:N27"/>
    <mergeCell ref="O27:P27"/>
    <mergeCell ref="A28:E28"/>
    <mergeCell ref="I28:L28"/>
    <mergeCell ref="M28:N28"/>
    <mergeCell ref="O28:P28"/>
    <mergeCell ref="A25:E25"/>
    <mergeCell ref="I25:L25"/>
    <mergeCell ref="M25:N25"/>
    <mergeCell ref="O25:P25"/>
    <mergeCell ref="A26:E26"/>
    <mergeCell ref="I26:L26"/>
    <mergeCell ref="M26:N26"/>
    <mergeCell ref="O26:P26"/>
    <mergeCell ref="A23:E23"/>
    <mergeCell ref="I23:L23"/>
    <mergeCell ref="M23:N23"/>
    <mergeCell ref="O23:P23"/>
    <mergeCell ref="A24:E24"/>
    <mergeCell ref="I24:L24"/>
    <mergeCell ref="M24:N24"/>
    <mergeCell ref="O24:P24"/>
    <mergeCell ref="A21:E21"/>
    <mergeCell ref="I21:L21"/>
    <mergeCell ref="M21:N21"/>
    <mergeCell ref="O21:P21"/>
    <mergeCell ref="A22:E22"/>
    <mergeCell ref="I22:L22"/>
    <mergeCell ref="M22:N22"/>
    <mergeCell ref="O22:P22"/>
    <mergeCell ref="A19:E19"/>
    <mergeCell ref="I19:L19"/>
    <mergeCell ref="M19:N19"/>
    <mergeCell ref="O19:P19"/>
    <mergeCell ref="A20:E20"/>
    <mergeCell ref="I20:L20"/>
    <mergeCell ref="M20:N20"/>
    <mergeCell ref="O20:P20"/>
    <mergeCell ref="A17:E17"/>
    <mergeCell ref="I17:L17"/>
    <mergeCell ref="M17:N17"/>
    <mergeCell ref="O17:P17"/>
    <mergeCell ref="A18:E18"/>
    <mergeCell ref="I18:L18"/>
    <mergeCell ref="M18:N18"/>
    <mergeCell ref="O18:P18"/>
    <mergeCell ref="A15:E15"/>
    <mergeCell ref="I15:L15"/>
    <mergeCell ref="M15:N15"/>
    <mergeCell ref="O15:P15"/>
    <mergeCell ref="A16:E16"/>
    <mergeCell ref="I16:L16"/>
    <mergeCell ref="M16:N16"/>
    <mergeCell ref="O16:P16"/>
    <mergeCell ref="A13:E13"/>
    <mergeCell ref="I13:L13"/>
    <mergeCell ref="M13:N13"/>
    <mergeCell ref="O13:P13"/>
    <mergeCell ref="A14:E14"/>
    <mergeCell ref="I14:L14"/>
    <mergeCell ref="M14:N14"/>
    <mergeCell ref="O14:P14"/>
    <mergeCell ref="A11:E11"/>
    <mergeCell ref="I11:L11"/>
    <mergeCell ref="M11:N11"/>
    <mergeCell ref="O11:P11"/>
    <mergeCell ref="A12:E12"/>
    <mergeCell ref="I12:L12"/>
    <mergeCell ref="M12:N12"/>
    <mergeCell ref="O12:P12"/>
    <mergeCell ref="A9:E9"/>
    <mergeCell ref="I9:L9"/>
    <mergeCell ref="M9:N9"/>
    <mergeCell ref="O9:P9"/>
    <mergeCell ref="A10:E10"/>
    <mergeCell ref="I10:L10"/>
    <mergeCell ref="M10:N10"/>
    <mergeCell ref="O10:P10"/>
    <mergeCell ref="A7:E7"/>
    <mergeCell ref="I7:L7"/>
    <mergeCell ref="M7:N7"/>
    <mergeCell ref="O7:P7"/>
    <mergeCell ref="A8:E8"/>
    <mergeCell ref="I8:L8"/>
    <mergeCell ref="M8:N8"/>
    <mergeCell ref="O8:P8"/>
    <mergeCell ref="A5:E5"/>
    <mergeCell ref="I5:L5"/>
    <mergeCell ref="M5:N5"/>
    <mergeCell ref="O5:P5"/>
    <mergeCell ref="A6:E6"/>
    <mergeCell ref="I6:L6"/>
    <mergeCell ref="M6:N6"/>
    <mergeCell ref="O6:P6"/>
    <mergeCell ref="A3:E3"/>
    <mergeCell ref="I3:L3"/>
    <mergeCell ref="M3:N3"/>
    <mergeCell ref="O3:P3"/>
    <mergeCell ref="A4:E4"/>
    <mergeCell ref="I4:L4"/>
    <mergeCell ref="M4:N4"/>
    <mergeCell ref="O4:P4"/>
    <mergeCell ref="A1:E1"/>
    <mergeCell ref="I1:L1"/>
    <mergeCell ref="M1:N1"/>
    <mergeCell ref="O1:P1"/>
    <mergeCell ref="A2:E2"/>
    <mergeCell ref="I2:L2"/>
    <mergeCell ref="M2:N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M142</vt:lpstr>
      <vt:lpstr>M129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Njoroge</dc:creator>
  <cp:lastModifiedBy>Paul Njoroge</cp:lastModifiedBy>
  <dcterms:created xsi:type="dcterms:W3CDTF">2025-01-25T11:20:45Z</dcterms:created>
  <dcterms:modified xsi:type="dcterms:W3CDTF">2025-01-25T11:28:09Z</dcterms:modified>
</cp:coreProperties>
</file>